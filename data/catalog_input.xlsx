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0" yWindow="0" windowWidth="9780" windowHeight="10170" tabRatio="500" firstSheet="0" activeTab="1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Parts" sheetId="2" state="visible" r:id="rId2"/>
    <sheet xmlns:r="http://schemas.openxmlformats.org/officeDocument/2006/relationships" name="Resistors" sheetId="3" state="visible" r:id="rId3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7">
    <font>
      <name val="Calibri"/>
      <charset val="1"/>
      <family val="2"/>
      <color theme="1"/>
      <sz val="11"/>
    </font>
    <font>
      <name val="Arial"/>
      <charset val="1"/>
      <b val="1"/>
      <sz val="14"/>
    </font>
    <font>
      <name val="Arial"/>
      <charset val="1"/>
      <sz val="10"/>
    </font>
    <font>
      <name val="Consolas"/>
      <charset val="1"/>
      <b val="1"/>
      <sz val="10"/>
    </font>
    <font>
      <name val="Arial"/>
      <charset val="1"/>
      <b val="1"/>
      <sz val="10"/>
    </font>
    <font>
      <name val="Arial"/>
      <charset val="1"/>
      <b val="1"/>
      <color rgb="FFFFFFFF"/>
      <sz val="10"/>
    </font>
    <font>
      <name val="Arial"/>
      <charset val="1"/>
      <i val="1"/>
      <sz val="9"/>
    </font>
  </fonts>
  <fills count="6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7E6E6"/>
        <bgColor rgb="FFDDEBF7"/>
      </patternFill>
    </fill>
    <fill>
      <patternFill patternType="solid">
        <fgColor rgb="FFFFF2CC"/>
        <bgColor rgb="FFFFEB9C"/>
      </patternFill>
    </fill>
    <fill>
      <patternFill patternType="solid">
        <fgColor rgb="FFDDEBF7"/>
        <bgColor rgb="FFE7E6E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49" fontId="2" fillId="3" borderId="1" applyAlignment="1" pivotButton="0" quotePrefix="0" xfId="0">
      <alignment vertical="center"/>
    </xf>
    <xf numFmtId="49" fontId="2" fillId="4" borderId="1" applyAlignment="1" pivotButton="0" quotePrefix="0" xfId="0">
      <alignment vertical="center"/>
    </xf>
    <xf numFmtId="49" fontId="2" fillId="5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49" fontId="2" fillId="5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  <xf numFmtId="0" fontId="5" fillId="2" borderId="1" pivotButton="0" quotePrefix="0" xfId="0"/>
    <xf numFmtId="0" fontId="6" fillId="0" borderId="0" pivotButton="0" quotePrefix="0" xfId="0"/>
    <xf numFmtId="49" fontId="2" fillId="3" borderId="1" pivotButton="0" quotePrefix="0" xfId="0"/>
    <xf numFmtId="49" fontId="2" fillId="4" borderId="1" pivotButton="0" quotePrefix="0" xfId="0"/>
    <xf numFmtId="0" fontId="4" fillId="0" borderId="1" pivotButton="0" quotePrefix="0" xfId="0"/>
  </cellXfs>
  <cellStyles count="1">
    <cellStyle name="Normal" xfId="0" builtinId="0"/>
  </cellStyles>
  <dxfs count="5">
    <dxf>
      <fill>
        <patternFill>
          <bgColor rgb="FFFFC7CE"/>
        </patternFill>
      </fill>
    </dxf>
    <dxf>
      <fill>
        <patternFill>
          <bgColor rgb="FFC6EFCE"/>
        </patternFill>
      </fill>
    </dxf>
    <dxf>
      <font>
        <name val="Arial"/>
        <charset val="1"/>
        <b val="1"/>
        <color rgb="FF9C0006"/>
      </font>
      <fill>
        <patternFill>
          <bgColor rgb="FFFFC7CE"/>
        </patternFill>
      </fill>
    </dxf>
    <dxf>
      <font>
        <name val="Arial"/>
        <charset val="1"/>
        <b val="1"/>
        <color rgb="FF9C5700"/>
      </font>
      <fill>
        <patternFill>
          <bgColor rgb="FFFFEB9C"/>
        </patternFill>
      </fill>
    </dxf>
    <dxf>
      <font>
        <name val="Arial"/>
        <charset val="1"/>
        <b val="1"/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C57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zoomScaleNormal="100" workbookViewId="0">
      <selection activeCell="A1" sqref="A1"/>
    </sheetView>
  </sheetViews>
  <sheetFormatPr baseColWidth="8" defaultColWidth="8.6328125" defaultRowHeight="14.5"/>
  <cols>
    <col width="112" customWidth="1" min="1" max="1"/>
    <col width="18" customWidth="1" min="2" max="2"/>
  </cols>
  <sheetData>
    <row r="1" ht="18" customHeight="1">
      <c r="A1" s="1" t="inlineStr">
        <is>
          <t>How to fill this sheet</t>
        </is>
      </c>
    </row>
    <row r="2">
      <c r="A2" s="2" t="n"/>
    </row>
    <row r="3">
      <c r="A3" s="2" t="inlineStr">
        <is>
          <t>1. Open the 'Parts' sheet. Grey cells are pre-filled: do not change them.</t>
        </is>
      </c>
    </row>
    <row r="4">
      <c r="A4" s="2" t="inlineStr">
        <is>
          <t>2. YELLOW column 'LCSC number' is the ONLY thing you fill in. Search each part on lcsc.com.</t>
        </is>
      </c>
    </row>
    <row r="5">
      <c r="A5" s="2" t="inlineStr">
        <is>
          <t xml:space="preserve">   Choose one that is IN STOCK and THROUGH-HOLE (never SMD). Copy the C-number from the product page. Do not type it from memory.</t>
        </is>
      </c>
    </row>
    <row r="6">
      <c r="A6" s="2" t="inlineStr">
        <is>
          <t>3. Resistors: on the 'Resistors' sheet type the LCSC number next to each value (each value has its own C-number).</t>
        </is>
      </c>
    </row>
    <row r="7">
      <c r="A7" s="2" t="inlineStr">
        <is>
          <t>4. BLUE columns (package, pin numbers, voltage, current, notes) are filled by Claude from the LCSC page. Leave them empty.</t>
        </is>
      </c>
    </row>
    <row r="8">
      <c r="A8" s="2" t="inlineStr">
        <is>
          <t>5. Save the file (Ctrl+S) and send it to Hamdan. Claude checks every LCSC number (in stock? through-hole? the right part?),</t>
        </is>
      </c>
    </row>
    <row r="9">
      <c r="A9" s="2" t="inlineStr">
        <is>
          <t xml:space="preserve">   fills the blue columns, and sends back the finished sheet plus data/components.json.</t>
        </is>
      </c>
    </row>
    <row r="10">
      <c r="A10" s="2" t="inlineStr">
        <is>
          <t>6. Then commit both files (see your guide). To rebuild components.json yourself at any time, run:</t>
        </is>
      </c>
    </row>
    <row r="11">
      <c r="A11" s="3" t="inlineStr">
        <is>
          <t xml:space="preserve">      python -m tools.catalog_from_excel</t>
        </is>
      </c>
    </row>
    <row r="12">
      <c r="A12" s="2" t="inlineStr">
        <is>
          <t>7. Pin numbers are standard for the package and are double-checked in EasyEDA by Hamdan (and by the builder's pin check).</t>
        </is>
      </c>
    </row>
    <row r="13">
      <c r="A13" s="2" t="inlineStr">
        <is>
          <t xml:space="preserve">   Not sure about a part? Type CHECK in Notes and tell Hamdan.</t>
        </is>
      </c>
    </row>
    <row r="14">
      <c r="A14" s="2" t="n"/>
    </row>
    <row r="15">
      <c r="A15" s="2" t="inlineStr">
        <is>
          <t>Example row (already filled in): L7805CV. Copy its style.</t>
        </is>
      </c>
    </row>
    <row r="16">
      <c r="A16" s="2" t="inlineStr">
        <is>
          <t>Extra parts: use the empty yellow rows at the bottom of Parts. Ask Hamdan first: the design templates only use the parts listed.</t>
        </is>
      </c>
    </row>
    <row r="17">
      <c r="A17" s="2" t="n"/>
    </row>
    <row r="18">
      <c r="A18" s="4" t="inlineStr">
        <is>
          <t>Parts ready:</t>
        </is>
      </c>
      <c r="B18" s="4">
        <f>COUNTIF(Parts!K2:K60,"DONE")&amp;" of "&amp;COUNTA(Parts!A2:A60)</f>
        <v/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41"/>
  <sheetViews>
    <sheetView tabSelected="1" zoomScaleNormal="100" workbookViewId="0">
      <pane xSplit="1" ySplit="1" topLeftCell="D2" activePane="bottomRight" state="frozen"/>
      <selection pane="topRight" activeCell="B1" sqref="B1"/>
      <selection pane="bottomLeft" activeCell="A2" sqref="A2"/>
      <selection pane="bottomRight" activeCell="E2" sqref="E2"/>
    </sheetView>
  </sheetViews>
  <sheetFormatPr baseColWidth="8" defaultColWidth="8.6328125" defaultRowHeight="14.5"/>
  <cols>
    <col width="24" customWidth="1" min="1" max="1"/>
    <col width="20" customWidth="1" min="2" max="2"/>
    <col width="46" customWidth="1" min="3" max="3"/>
    <col width="18" customWidth="1" min="4" max="4"/>
    <col width="20" customWidth="1" min="5" max="6"/>
    <col width="16" customWidth="1" min="7" max="7"/>
    <col width="12" customWidth="1" min="8" max="9"/>
    <col width="30" customWidth="1" min="10" max="10"/>
    <col width="20" customWidth="1" min="11" max="11"/>
    <col width="44" customWidth="1" min="12" max="12"/>
  </cols>
  <sheetData>
    <row r="1" ht="30" customHeight="1">
      <c r="A1" s="5" t="inlineStr">
        <is>
          <t>Part key</t>
        </is>
      </c>
      <c r="B1" s="5" t="inlineStr">
        <is>
          <t>Category</t>
        </is>
      </c>
      <c r="C1" s="5" t="inlineStr">
        <is>
          <t>Pin names</t>
        </is>
      </c>
      <c r="D1" s="5" t="inlineStr">
        <is>
          <t>Typical pin numbers</t>
        </is>
      </c>
      <c r="E1" s="5" t="inlineStr">
        <is>
          <t>LCSC number</t>
        </is>
      </c>
      <c r="F1" s="5" t="inlineStr">
        <is>
          <t>Package</t>
        </is>
      </c>
      <c r="G1" s="5" t="inlineStr">
        <is>
          <t>Pin numbers</t>
        </is>
      </c>
      <c r="H1" s="5" t="inlineStr">
        <is>
          <t>Max voltage (V)</t>
        </is>
      </c>
      <c r="I1" s="5" t="inlineStr">
        <is>
          <t>Max current (A)</t>
        </is>
      </c>
      <c r="J1" s="5" t="inlineStr">
        <is>
          <t>Notes</t>
        </is>
      </c>
      <c r="K1" s="5" t="inlineStr">
        <is>
          <t>Status</t>
        </is>
      </c>
      <c r="L1" s="5" t="inlineStr">
        <is>
          <t>Description</t>
        </is>
      </c>
    </row>
    <row r="2">
      <c r="A2" s="6" t="inlineStr">
        <is>
          <t>KF301-5.0-2P</t>
        </is>
      </c>
      <c r="B2" s="6" t="inlineStr">
        <is>
          <t>connector</t>
        </is>
      </c>
      <c r="C2" s="7" t="inlineStr">
        <is>
          <t>1, 2</t>
        </is>
      </c>
      <c r="D2" s="7" t="inlineStr">
        <is>
          <t>1, 2</t>
        </is>
      </c>
      <c r="E2" t="inlineStr">
        <is>
          <t>C474881</t>
        </is>
      </c>
      <c r="F2" s="9" t="inlineStr">
        <is>
          <t>Through Hole P=5.0mm</t>
        </is>
      </c>
      <c r="G2" s="9" t="inlineStr">
        <is>
          <t>1, 2</t>
        </is>
      </c>
      <c r="H2" s="10" t="n">
        <v>250</v>
      </c>
      <c r="I2" s="10" t="n">
        <v>17</v>
      </c>
      <c r="J2" s="11" t="inlineStr">
        <is>
          <t>Cixi Kefa 2-pin screw terminal, 5 mm pitch. Pins: standard for package, verify in EasyEDA.</t>
        </is>
      </c>
      <c r="K2" s="12">
        <f>IF(E2="","to do",IF(AND(F2&lt;&gt;"",G2&lt;&gt;"",H2&lt;&gt;""),"DONE","waiting for Claude"))</f>
        <v/>
      </c>
      <c r="L2" s="13" t="inlineStr">
        <is>
          <t>2-pin 5.0 mm screw terminal block</t>
        </is>
      </c>
    </row>
    <row r="3">
      <c r="A3" s="6" t="inlineStr">
        <is>
          <t>1N4007-TP</t>
        </is>
      </c>
      <c r="B3" s="6" t="inlineStr">
        <is>
          <t>diode</t>
        </is>
      </c>
      <c r="C3" s="7" t="inlineStr">
        <is>
          <t>K, A</t>
        </is>
      </c>
      <c r="D3" s="7" t="inlineStr">
        <is>
          <t>1, 2</t>
        </is>
      </c>
      <c r="E3" s="8" t="inlineStr">
        <is>
          <t>C78736</t>
        </is>
      </c>
      <c r="F3" s="9" t="inlineStr">
        <is>
          <t>DO-41</t>
        </is>
      </c>
      <c r="G3" s="9" t="inlineStr">
        <is>
          <t>1, 2</t>
        </is>
      </c>
      <c r="H3" s="10" t="n">
        <v>1000</v>
      </c>
      <c r="I3" s="10" t="n">
        <v>1</v>
      </c>
      <c r="J3" s="11" t="inlineStr">
        <is>
          <t>Band marks the cathode.</t>
        </is>
      </c>
      <c r="K3" s="12">
        <f>IF(E3="","to do",IF(AND(F3&lt;&gt;"",G3&lt;&gt;"",H3&lt;&gt;""),"DONE","waiting for Claude"))</f>
        <v/>
      </c>
      <c r="L3" s="13" t="inlineStr">
        <is>
          <t>1000 V 1 A general purpose rectifier diode (MCC)</t>
        </is>
      </c>
    </row>
    <row r="4">
      <c r="A4" s="6" t="inlineStr">
        <is>
          <t>1N5408</t>
        </is>
      </c>
      <c r="B4" s="6" t="inlineStr">
        <is>
          <t>diode</t>
        </is>
      </c>
      <c r="C4" s="7" t="inlineStr">
        <is>
          <t>K, A</t>
        </is>
      </c>
      <c r="D4" s="7" t="inlineStr">
        <is>
          <t>1, 2</t>
        </is>
      </c>
      <c r="E4" s="8" t="n"/>
      <c r="F4" s="9" t="n"/>
      <c r="G4" s="9" t="n"/>
      <c r="H4" s="10" t="n"/>
      <c r="I4" s="10" t="n"/>
      <c r="J4" s="11" t="n"/>
      <c r="K4" s="12">
        <f>IF(E4="","to do",IF(AND(F4&lt;&gt;"",G4&lt;&gt;"",H4&lt;&gt;""),"DONE","waiting for Claude"))</f>
        <v/>
      </c>
      <c r="L4" s="13" t="inlineStr">
        <is>
          <t>1000 V 3 A rectifier diode</t>
        </is>
      </c>
    </row>
    <row r="5">
      <c r="A5" s="6" t="inlineStr">
        <is>
          <t>W04M</t>
        </is>
      </c>
      <c r="B5" s="6" t="inlineStr">
        <is>
          <t>bridge_rectifier</t>
        </is>
      </c>
      <c r="C5" s="7" t="inlineStr">
        <is>
          <t>+, AC1, -, AC2</t>
        </is>
      </c>
      <c r="D5" s="7" t="inlineStr">
        <is>
          <t>1, 2, 3, 4</t>
        </is>
      </c>
      <c r="E5" s="8" t="n"/>
      <c r="F5" s="9" t="n"/>
      <c r="G5" s="9" t="n"/>
      <c r="H5" s="10" t="n"/>
      <c r="I5" s="10" t="n"/>
      <c r="J5" s="11" t="n"/>
      <c r="K5" s="12">
        <f>IF(E5="","to do",IF(AND(F5&lt;&gt;"",G5&lt;&gt;"",H5&lt;&gt;""),"DONE","waiting for Claude"))</f>
        <v/>
      </c>
      <c r="L5" s="13" t="inlineStr">
        <is>
          <t>400 V 1.5 A bridge rectifier, through-hole</t>
        </is>
      </c>
    </row>
    <row r="6">
      <c r="A6" s="6" t="inlineStr">
        <is>
          <t>KBP206</t>
        </is>
      </c>
      <c r="B6" s="6" t="inlineStr">
        <is>
          <t>bridge_rectifier</t>
        </is>
      </c>
      <c r="C6" s="7" t="inlineStr">
        <is>
          <t>+, AC1, AC2, -</t>
        </is>
      </c>
      <c r="D6" s="7" t="inlineStr">
        <is>
          <t>1, 2, 3, 4</t>
        </is>
      </c>
      <c r="E6" s="8" t="n"/>
      <c r="F6" s="9" t="n"/>
      <c r="G6" s="9" t="n"/>
      <c r="H6" s="10" t="n"/>
      <c r="I6" s="10" t="n"/>
      <c r="J6" s="11" t="n"/>
      <c r="K6" s="12">
        <f>IF(E6="","to do",IF(AND(F6&lt;&gt;"",G6&lt;&gt;"",H6&lt;&gt;""),"DONE","waiting for Claude"))</f>
        <v/>
      </c>
      <c r="L6" s="13" t="inlineStr">
        <is>
          <t>600 V 2 A bridge rectifier, through-hole</t>
        </is>
      </c>
    </row>
    <row r="7" ht="25" customHeight="1">
      <c r="A7" s="6" t="inlineStr">
        <is>
          <t>L7805CV</t>
        </is>
      </c>
      <c r="B7" s="6" t="inlineStr">
        <is>
          <t>regulator</t>
        </is>
      </c>
      <c r="C7" s="7" t="inlineStr">
        <is>
          <t>IN, GND, OUT</t>
        </is>
      </c>
      <c r="D7" s="7" t="inlineStr">
        <is>
          <t>1, 2, 3</t>
        </is>
      </c>
      <c r="E7" s="8" t="inlineStr">
        <is>
          <t>C111887</t>
        </is>
      </c>
      <c r="F7" s="9" t="inlineStr">
        <is>
          <t>TO-220</t>
        </is>
      </c>
      <c r="G7" s="9" t="inlineStr">
        <is>
          <t>1, 2, 3</t>
        </is>
      </c>
      <c r="H7" s="10" t="n">
        <v>35</v>
      </c>
      <c r="I7" s="10" t="n">
        <v>1.5</v>
      </c>
      <c r="J7" s="11" t="inlineStr">
        <is>
          <t>Needs about 2-3 V headroom. 0.33 uF in, 0.1 uF out.</t>
        </is>
      </c>
      <c r="K7" s="12">
        <f>IF(E7="","to do",IF(AND(F7&lt;&gt;"",G7&lt;&gt;"",H7&lt;&gt;""),"DONE","waiting for Claude"))</f>
        <v/>
      </c>
      <c r="L7" s="13" t="inlineStr">
        <is>
          <t>5 V 1.5 A fixed positive linear regulator (STMicroelectronics)</t>
        </is>
      </c>
    </row>
    <row r="8">
      <c r="A8" s="6" t="inlineStr">
        <is>
          <t>L7809CV</t>
        </is>
      </c>
      <c r="B8" s="6" t="inlineStr">
        <is>
          <t>regulator</t>
        </is>
      </c>
      <c r="C8" s="7" t="inlineStr">
        <is>
          <t>IN, GND, OUT</t>
        </is>
      </c>
      <c r="D8" s="7" t="inlineStr">
        <is>
          <t>1, 2, 3</t>
        </is>
      </c>
      <c r="E8" s="8" t="n"/>
      <c r="F8" s="9" t="n"/>
      <c r="G8" s="9" t="n"/>
      <c r="H8" s="10" t="n"/>
      <c r="I8" s="10" t="n"/>
      <c r="J8" s="11" t="n"/>
      <c r="K8" s="12">
        <f>IF(E8="","to do",IF(AND(F8&lt;&gt;"",G8&lt;&gt;"",H8&lt;&gt;""),"DONE","waiting for Claude"))</f>
        <v/>
      </c>
      <c r="L8" s="13" t="inlineStr">
        <is>
          <t>9 V 1.5 A fixed linear regulator</t>
        </is>
      </c>
    </row>
    <row r="9">
      <c r="A9" s="6" t="inlineStr">
        <is>
          <t>L7812CV</t>
        </is>
      </c>
      <c r="B9" s="6" t="inlineStr">
        <is>
          <t>regulator</t>
        </is>
      </c>
      <c r="C9" s="7" t="inlineStr">
        <is>
          <t>IN, GND, OUT</t>
        </is>
      </c>
      <c r="D9" s="7" t="inlineStr">
        <is>
          <t>1, 2, 3</t>
        </is>
      </c>
      <c r="E9" s="8" t="n"/>
      <c r="F9" s="9" t="n"/>
      <c r="G9" s="9" t="n"/>
      <c r="H9" s="10" t="n"/>
      <c r="I9" s="10" t="n"/>
      <c r="J9" s="11" t="n"/>
      <c r="K9" s="12">
        <f>IF(E9="","to do",IF(AND(F9&lt;&gt;"",G9&lt;&gt;"",H9&lt;&gt;""),"DONE","waiting for Claude"))</f>
        <v/>
      </c>
      <c r="L9" s="13" t="inlineStr">
        <is>
          <t>12 V 1.5 A fixed linear regulator</t>
        </is>
      </c>
    </row>
    <row r="10">
      <c r="A10" s="6" t="inlineStr">
        <is>
          <t>LM317T</t>
        </is>
      </c>
      <c r="B10" s="6" t="inlineStr">
        <is>
          <t>regulator</t>
        </is>
      </c>
      <c r="C10" s="7" t="inlineStr">
        <is>
          <t>ADJ, OUT, IN</t>
        </is>
      </c>
      <c r="D10" s="7" t="inlineStr">
        <is>
          <t>1, 2, 3</t>
        </is>
      </c>
      <c r="E10" s="8" t="inlineStr">
        <is>
          <t>C361026</t>
        </is>
      </c>
      <c r="F10" s="9" t="inlineStr">
        <is>
          <t>TO-220</t>
        </is>
      </c>
      <c r="G10" s="9" t="inlineStr">
        <is>
          <t>1, 2, 3</t>
        </is>
      </c>
      <c r="H10" s="10" t="n">
        <v>40</v>
      </c>
      <c r="I10" s="10" t="n">
        <v>1.5</v>
      </c>
      <c r="J10" s="11" t="inlineStr">
        <is>
          <t>ST LM317T, TO-220AB-3. Max 40 V is the input-output voltage difference. Pins: standard for package, verify in EasyEDA.</t>
        </is>
      </c>
      <c r="K10" s="12">
        <f>IF(E10="","to do",IF(AND(F10&lt;&gt;"",G10&lt;&gt;"",H10&lt;&gt;""),"DONE","waiting for Claude"))</f>
        <v/>
      </c>
      <c r="L10" s="13" t="inlineStr">
        <is>
          <t>Adjustable 1.25-37 V 1.5 A linear regulator</t>
        </is>
      </c>
    </row>
    <row r="11">
      <c r="A11" s="6" t="inlineStr">
        <is>
          <t>NE555P</t>
        </is>
      </c>
      <c r="B11" s="6" t="inlineStr">
        <is>
          <t>timer_ic</t>
        </is>
      </c>
      <c r="C11" s="7" t="inlineStr">
        <is>
          <t>GND, TRIG, OUT, RESET, CTRL, THR, DIS, VCC</t>
        </is>
      </c>
      <c r="D11" s="7" t="inlineStr">
        <is>
          <t>1, 2, 3, 4, 5, 6, 7, 8</t>
        </is>
      </c>
      <c r="E11" s="8" t="inlineStr">
        <is>
          <t>C46749</t>
        </is>
      </c>
      <c r="F11" s="9" t="inlineStr">
        <is>
          <t>DIP-8</t>
        </is>
      </c>
      <c r="G11" s="9" t="inlineStr">
        <is>
          <t>1, 2, 3, 4, 5, 6, 7, 8</t>
        </is>
      </c>
      <c r="H11" s="10" t="n">
        <v>16</v>
      </c>
      <c r="I11" s="10" t="n">
        <v>0.2</v>
      </c>
      <c r="J11" s="11" t="inlineStr">
        <is>
          <t>TI NE555P. Supply 4.5-16 V, output up to 200 mA. Pins: standard for package, verify in EasyEDA.</t>
        </is>
      </c>
      <c r="K11" s="12">
        <f>IF(E11="","to do",IF(AND(F11&lt;&gt;"",G11&lt;&gt;"",H11&lt;&gt;""),"DONE","waiting for Claude"))</f>
        <v/>
      </c>
      <c r="L11" s="13" t="inlineStr">
        <is>
          <t>NE555 timer, DIP-8</t>
        </is>
      </c>
    </row>
    <row r="12">
      <c r="A12" s="6" t="inlineStr">
        <is>
          <t>POT-5K-RV09</t>
        </is>
      </c>
      <c r="B12" s="6" t="inlineStr">
        <is>
          <t>potentiometer</t>
        </is>
      </c>
      <c r="C12" s="7" t="inlineStr">
        <is>
          <t>1, W, 3</t>
        </is>
      </c>
      <c r="D12" s="7" t="inlineStr">
        <is>
          <t>1, 2, 3</t>
        </is>
      </c>
      <c r="E12" s="8" t="n"/>
      <c r="F12" s="9" t="n"/>
      <c r="G12" s="9" t="n"/>
      <c r="H12" s="10" t="n"/>
      <c r="I12" s="10" t="n"/>
      <c r="J12" s="11" t="n"/>
      <c r="K12" s="12">
        <f>IF(E12="","to do",IF(AND(F12&lt;&gt;"",G12&lt;&gt;"",H12&lt;&gt;""),"DONE","waiting for Claude"))</f>
        <v/>
      </c>
      <c r="L12" s="13" t="inlineStr">
        <is>
          <t>5k linear potentiometer, through-hole</t>
        </is>
      </c>
    </row>
    <row r="13">
      <c r="A13" s="6" t="inlineStr">
        <is>
          <t>POT-10K-RV09</t>
        </is>
      </c>
      <c r="B13" s="6" t="inlineStr">
        <is>
          <t>potentiometer</t>
        </is>
      </c>
      <c r="C13" s="7" t="inlineStr">
        <is>
          <t>1, W, 3</t>
        </is>
      </c>
      <c r="D13" s="7" t="inlineStr">
        <is>
          <t>1, 2, 3</t>
        </is>
      </c>
      <c r="E13" s="8" t="n"/>
      <c r="F13" s="9" t="n"/>
      <c r="G13" s="9" t="n"/>
      <c r="H13" s="10" t="n"/>
      <c r="I13" s="10" t="n"/>
      <c r="J13" s="11" t="n"/>
      <c r="K13" s="12">
        <f>IF(E13="","to do",IF(AND(F13&lt;&gt;"",G13&lt;&gt;"",H13&lt;&gt;""),"DONE","waiting for Claude"))</f>
        <v/>
      </c>
      <c r="L13" s="13" t="inlineStr">
        <is>
          <t>10k linear potentiometer, through-hole</t>
        </is>
      </c>
    </row>
    <row r="14">
      <c r="A14" s="6" t="inlineStr">
        <is>
          <t>RES-0.25W</t>
        </is>
      </c>
      <c r="B14" s="6" t="inlineStr">
        <is>
          <t>resistor</t>
        </is>
      </c>
      <c r="C14" s="7" t="inlineStr">
        <is>
          <t>1, 2</t>
        </is>
      </c>
      <c r="D14" s="7" t="inlineStr">
        <is>
          <t>1, 2</t>
        </is>
      </c>
      <c r="E14" s="8" t="inlineStr">
        <is>
          <t>see Resistors sheet</t>
        </is>
      </c>
      <c r="F14" s="9" t="inlineStr">
        <is>
          <t>Axial 10.16 mm</t>
        </is>
      </c>
      <c r="G14" s="9" t="inlineStr">
        <is>
          <t>1, 2</t>
        </is>
      </c>
      <c r="H14" s="10" t="n">
        <v>250</v>
      </c>
      <c r="I14" s="10" t="n"/>
      <c r="J14" s="11" t="n"/>
      <c r="K14" s="12">
        <f>IF(COUNTIFS(Resistors!$A$2:$A$80,A14,Resistors!$C$2:$C$80,"&lt;&gt;")&gt;0,"DONE","add values")</f>
        <v/>
      </c>
      <c r="L14" s="13" t="inlineStr">
        <is>
          <t>Resistor, 1/4 W, axial</t>
        </is>
      </c>
    </row>
    <row r="15">
      <c r="A15" s="6" t="inlineStr">
        <is>
          <t>RES-1W</t>
        </is>
      </c>
      <c r="B15" s="6" t="inlineStr">
        <is>
          <t>resistor</t>
        </is>
      </c>
      <c r="C15" s="7" t="inlineStr">
        <is>
          <t>1, 2</t>
        </is>
      </c>
      <c r="D15" s="7" t="inlineStr">
        <is>
          <t>1, 2</t>
        </is>
      </c>
      <c r="E15" s="8" t="inlineStr">
        <is>
          <t>see Resistors sheet</t>
        </is>
      </c>
      <c r="F15" s="9" t="inlineStr">
        <is>
          <t>Axial 10.16 mm</t>
        </is>
      </c>
      <c r="G15" s="9" t="inlineStr">
        <is>
          <t>1, 2</t>
        </is>
      </c>
      <c r="H15" s="10" t="n">
        <v>250</v>
      </c>
      <c r="I15" s="10" t="n"/>
      <c r="J15" s="11" t="n"/>
      <c r="K15" s="12">
        <f>IF(COUNTIFS(Resistors!$A$2:$A$80,A15,Resistors!$C$2:$C$80,"&lt;&gt;")&gt;0,"DONE","add values")</f>
        <v/>
      </c>
      <c r="L15" s="13" t="inlineStr">
        <is>
          <t>Resistor, 1 W, axial</t>
        </is>
      </c>
    </row>
    <row r="16">
      <c r="A16" s="6" t="inlineStr">
        <is>
          <t>CAP-CER-100NF-50V</t>
        </is>
      </c>
      <c r="B16" s="6" t="inlineStr">
        <is>
          <t>capacitor_ceramic</t>
        </is>
      </c>
      <c r="C16" s="7" t="inlineStr">
        <is>
          <t>1, 2</t>
        </is>
      </c>
      <c r="D16" s="7" t="inlineStr">
        <is>
          <t>1, 2</t>
        </is>
      </c>
      <c r="E16" s="8" t="n"/>
      <c r="F16" s="9" t="n"/>
      <c r="G16" s="9" t="n"/>
      <c r="H16" s="10" t="n"/>
      <c r="I16" s="10" t="n"/>
      <c r="J16" s="11" t="n"/>
      <c r="K16" s="12">
        <f>IF(E16="","to do",IF(AND(F16&lt;&gt;"",G16&lt;&gt;"",H16&lt;&gt;""),"DONE","waiting for Claude"))</f>
        <v/>
      </c>
      <c r="L16" s="13" t="inlineStr">
        <is>
          <t>100 nF 50 V ceramic capacitor, radial</t>
        </is>
      </c>
    </row>
    <row r="17">
      <c r="A17" s="6" t="inlineStr">
        <is>
          <t>CAP-CER-10NF-50V</t>
        </is>
      </c>
      <c r="B17" s="6" t="inlineStr">
        <is>
          <t>capacitor_ceramic</t>
        </is>
      </c>
      <c r="C17" s="7" t="inlineStr">
        <is>
          <t>1, 2</t>
        </is>
      </c>
      <c r="D17" s="7" t="inlineStr">
        <is>
          <t>1, 2</t>
        </is>
      </c>
      <c r="E17" s="8" t="n"/>
      <c r="F17" s="9" t="n"/>
      <c r="G17" s="9" t="n"/>
      <c r="H17" s="10" t="n"/>
      <c r="I17" s="10" t="n"/>
      <c r="J17" s="11" t="n"/>
      <c r="K17" s="12">
        <f>IF(E17="","to do",IF(AND(F17&lt;&gt;"",G17&lt;&gt;"",H17&lt;&gt;""),"DONE","waiting for Claude"))</f>
        <v/>
      </c>
      <c r="L17" s="13" t="inlineStr">
        <is>
          <t>10 nF 50 V ceramic capacitor, radial</t>
        </is>
      </c>
    </row>
    <row r="18">
      <c r="A18" s="6" t="inlineStr">
        <is>
          <t>LED-5MM-RED</t>
        </is>
      </c>
      <c r="B18" s="6" t="inlineStr">
        <is>
          <t>led</t>
        </is>
      </c>
      <c r="C18" s="7" t="inlineStr">
        <is>
          <t>K, A</t>
        </is>
      </c>
      <c r="D18" s="7" t="inlineStr">
        <is>
          <t>1, 2</t>
        </is>
      </c>
      <c r="E18" s="8" t="inlineStr">
        <is>
          <t>C87271</t>
        </is>
      </c>
      <c r="F18" s="9" t="inlineStr">
        <is>
          <t>LED D5mm Through Hole</t>
        </is>
      </c>
      <c r="G18" s="9" t="inlineStr">
        <is>
          <t>1, 2</t>
        </is>
      </c>
      <c r="H18" s="10" t="n">
        <v>5</v>
      </c>
      <c r="I18" s="10" t="n">
        <v>0.02</v>
      </c>
      <c r="J18" s="11" t="inlineStr">
        <is>
          <t>Everlight 333-2SURD/S530-A3, red, 20 mA, Vf about 2 V. CHECK: 5 V reverse voltage is a typical value, not on the LCSC page. Pins: standard for package, verify in EasyEDA. Longer leg is the anode (A).</t>
        </is>
      </c>
      <c r="K18" s="12">
        <f>IF(E18="","to do",IF(AND(F18&lt;&gt;"",G18&lt;&gt;"",H18&lt;&gt;""),"DONE","waiting for Claude"))</f>
        <v/>
      </c>
      <c r="L18" s="13" t="inlineStr">
        <is>
          <t>5 mm red LED</t>
        </is>
      </c>
    </row>
    <row r="19">
      <c r="A19" s="6" t="inlineStr">
        <is>
          <t>LED-5MM-WHITE</t>
        </is>
      </c>
      <c r="B19" s="6" t="inlineStr">
        <is>
          <t>led</t>
        </is>
      </c>
      <c r="C19" s="7" t="inlineStr">
        <is>
          <t>K, A</t>
        </is>
      </c>
      <c r="D19" s="7" t="inlineStr">
        <is>
          <t>1, 2</t>
        </is>
      </c>
      <c r="E19" s="8" t="n"/>
      <c r="F19" s="9" t="n"/>
      <c r="G19" s="9" t="n"/>
      <c r="H19" s="10" t="n"/>
      <c r="I19" s="10" t="n"/>
      <c r="J19" s="11" t="n"/>
      <c r="K19" s="12">
        <f>IF(E19="","to do",IF(AND(F19&lt;&gt;"",G19&lt;&gt;"",H19&lt;&gt;""),"DONE","waiting for Claude"))</f>
        <v/>
      </c>
      <c r="L19" s="13" t="inlineStr">
        <is>
          <t>5 mm white LED</t>
        </is>
      </c>
    </row>
    <row r="20">
      <c r="A20" s="6" t="inlineStr">
        <is>
          <t>LED-3MM-GREEN</t>
        </is>
      </c>
      <c r="B20" s="6" t="inlineStr">
        <is>
          <t>led</t>
        </is>
      </c>
      <c r="C20" s="7" t="inlineStr">
        <is>
          <t>K, A</t>
        </is>
      </c>
      <c r="D20" s="7" t="inlineStr">
        <is>
          <t>1, 2</t>
        </is>
      </c>
      <c r="E20" s="8" t="n"/>
      <c r="F20" s="9" t="n"/>
      <c r="G20" s="9" t="n"/>
      <c r="H20" s="10" t="n"/>
      <c r="I20" s="10" t="n"/>
      <c r="J20" s="11" t="n"/>
      <c r="K20" s="12">
        <f>IF(E20="","to do",IF(AND(F20&lt;&gt;"",G20&lt;&gt;"",H20&lt;&gt;""),"DONE","waiting for Claude"))</f>
        <v/>
      </c>
      <c r="L20" s="13" t="inlineStr">
        <is>
          <t>3 mm green LED</t>
        </is>
      </c>
    </row>
    <row r="21">
      <c r="A21" s="6" t="inlineStr">
        <is>
          <t>CAP-ELEC-10UF-16V</t>
        </is>
      </c>
      <c r="B21" s="6" t="inlineStr">
        <is>
          <t>capacitor_electrolytic</t>
        </is>
      </c>
      <c r="C21" s="7" t="inlineStr">
        <is>
          <t>+, -</t>
        </is>
      </c>
      <c r="D21" s="7" t="inlineStr">
        <is>
          <t>1, 2</t>
        </is>
      </c>
      <c r="E21" s="8" t="n"/>
      <c r="F21" s="9" t="n"/>
      <c r="G21" s="9" t="n"/>
      <c r="H21" s="10" t="n"/>
      <c r="I21" s="10" t="n"/>
      <c r="J21" s="11" t="n"/>
      <c r="K21" s="12">
        <f>IF(E21="","to do",IF(AND(F21&lt;&gt;"",G21&lt;&gt;"",H21&lt;&gt;""),"DONE","waiting for Claude"))</f>
        <v/>
      </c>
      <c r="L21" s="13" t="inlineStr">
        <is>
          <t>10 uF 16 V radial electrolytic capacitor</t>
        </is>
      </c>
    </row>
    <row r="22" ht="25" customHeight="1">
      <c r="A22" s="6" t="inlineStr">
        <is>
          <t>CAP-ELEC-100UF-25V</t>
        </is>
      </c>
      <c r="B22" s="6" t="inlineStr">
        <is>
          <t>capacitor_electrolytic</t>
        </is>
      </c>
      <c r="C22" s="7" t="inlineStr">
        <is>
          <t>+, -</t>
        </is>
      </c>
      <c r="D22" s="7" t="inlineStr">
        <is>
          <t>1, 2</t>
        </is>
      </c>
      <c r="E22" s="8" t="inlineStr">
        <is>
          <t>C44601</t>
        </is>
      </c>
      <c r="F22" s="9" t="inlineStr">
        <is>
          <t>Radial D6.3mm P2.5mm</t>
        </is>
      </c>
      <c r="G22" s="9" t="inlineStr">
        <is>
          <t>1, 2</t>
        </is>
      </c>
      <c r="H22" s="10" t="n">
        <v>25</v>
      </c>
      <c r="I22" s="10" t="n"/>
      <c r="J22" s="11" t="inlineStr">
        <is>
          <t>Use at most about 80% of rated voltage.</t>
        </is>
      </c>
      <c r="K22" s="12">
        <f>IF(E22="","to do",IF(AND(F22&lt;&gt;"",G22&lt;&gt;"",H22&lt;&gt;""),"DONE","waiting for Claude"))</f>
        <v/>
      </c>
      <c r="L22" s="13" t="inlineStr">
        <is>
          <t>100 uF 25 V radial electrolytic capacitor, 6.3 x 11 mm</t>
        </is>
      </c>
    </row>
    <row r="23">
      <c r="A23" s="6" t="inlineStr">
        <is>
          <t>CAP-ELEC-100UF-50V</t>
        </is>
      </c>
      <c r="B23" s="6" t="inlineStr">
        <is>
          <t>capacitor_electrolytic</t>
        </is>
      </c>
      <c r="C23" s="7" t="inlineStr">
        <is>
          <t>+, -</t>
        </is>
      </c>
      <c r="D23" s="7" t="inlineStr">
        <is>
          <t>1, 2</t>
        </is>
      </c>
      <c r="E23" s="8" t="n"/>
      <c r="F23" s="9" t="n"/>
      <c r="G23" s="9" t="n"/>
      <c r="H23" s="10" t="n"/>
      <c r="I23" s="10" t="n"/>
      <c r="J23" s="11" t="n"/>
      <c r="K23" s="12">
        <f>IF(E23="","to do",IF(AND(F23&lt;&gt;"",G23&lt;&gt;"",H23&lt;&gt;""),"DONE","waiting for Claude"))</f>
        <v/>
      </c>
      <c r="L23" s="13" t="inlineStr">
        <is>
          <t>100 uF 50 V radial electrolytic capacitor</t>
        </is>
      </c>
    </row>
    <row r="24">
      <c r="A24" s="6" t="inlineStr">
        <is>
          <t>CAP-ELEC-470UF-25V</t>
        </is>
      </c>
      <c r="B24" s="6" t="inlineStr">
        <is>
          <t>capacitor_electrolytic</t>
        </is>
      </c>
      <c r="C24" s="7" t="inlineStr">
        <is>
          <t>+, -</t>
        </is>
      </c>
      <c r="D24" s="7" t="inlineStr">
        <is>
          <t>1, 2</t>
        </is>
      </c>
      <c r="E24" s="8" t="n"/>
      <c r="F24" s="9" t="n"/>
      <c r="G24" s="9" t="n"/>
      <c r="H24" s="10" t="n"/>
      <c r="I24" s="10" t="n"/>
      <c r="J24" s="11" t="n"/>
      <c r="K24" s="12">
        <f>IF(E24="","to do",IF(AND(F24&lt;&gt;"",G24&lt;&gt;"",H24&lt;&gt;""),"DONE","waiting for Claude"))</f>
        <v/>
      </c>
      <c r="L24" s="13" t="inlineStr">
        <is>
          <t>470 uF 25 V radial electrolytic capacitor</t>
        </is>
      </c>
    </row>
    <row r="25">
      <c r="A25" s="6" t="inlineStr">
        <is>
          <t>CAP-ELEC-1000UF-25V</t>
        </is>
      </c>
      <c r="B25" s="6" t="inlineStr">
        <is>
          <t>capacitor_electrolytic</t>
        </is>
      </c>
      <c r="C25" s="7" t="inlineStr">
        <is>
          <t>+, -</t>
        </is>
      </c>
      <c r="D25" s="7" t="inlineStr">
        <is>
          <t>1, 2</t>
        </is>
      </c>
      <c r="E25" s="8" t="n"/>
      <c r="F25" s="9" t="n"/>
      <c r="G25" s="9" t="n"/>
      <c r="H25" s="10" t="n"/>
      <c r="I25" s="10" t="n"/>
      <c r="J25" s="11" t="n"/>
      <c r="K25" s="12">
        <f>IF(E25="","to do",IF(AND(F25&lt;&gt;"",G25&lt;&gt;"",H25&lt;&gt;""),"DONE","waiting for Claude"))</f>
        <v/>
      </c>
      <c r="L25" s="13" t="inlineStr">
        <is>
          <t>1000 uF 25 V radial electrolytic capacitor</t>
        </is>
      </c>
    </row>
    <row r="26">
      <c r="A26" s="6" t="inlineStr">
        <is>
          <t>CAP-ELEC-2200UF-25V</t>
        </is>
      </c>
      <c r="B26" s="6" t="inlineStr">
        <is>
          <t>capacitor_electrolytic</t>
        </is>
      </c>
      <c r="C26" s="7" t="inlineStr">
        <is>
          <t>+, -</t>
        </is>
      </c>
      <c r="D26" s="7" t="inlineStr">
        <is>
          <t>1, 2</t>
        </is>
      </c>
      <c r="E26" s="8" t="n"/>
      <c r="F26" s="9" t="n"/>
      <c r="G26" s="9" t="n"/>
      <c r="H26" s="10" t="n"/>
      <c r="I26" s="10" t="n"/>
      <c r="J26" s="11" t="n"/>
      <c r="K26" s="12">
        <f>IF(E26="","to do",IF(AND(F26&lt;&gt;"",G26&lt;&gt;"",H26&lt;&gt;""),"DONE","waiting for Claude"))</f>
        <v/>
      </c>
      <c r="L26" s="13" t="inlineStr">
        <is>
          <t>2200 uF 25 V radial electrolytic capacitor</t>
        </is>
      </c>
    </row>
    <row r="27">
      <c r="A27" s="6" t="inlineStr">
        <is>
          <t>CAP-ELEC-4700UF-25V</t>
        </is>
      </c>
      <c r="B27" s="6" t="inlineStr">
        <is>
          <t>capacitor_electrolytic</t>
        </is>
      </c>
      <c r="C27" s="7" t="inlineStr">
        <is>
          <t>+, -</t>
        </is>
      </c>
      <c r="D27" s="7" t="inlineStr">
        <is>
          <t>1, 2</t>
        </is>
      </c>
      <c r="E27" s="8" t="n"/>
      <c r="F27" s="9" t="n"/>
      <c r="G27" s="9" t="n"/>
      <c r="H27" s="10" t="n"/>
      <c r="I27" s="10" t="n"/>
      <c r="J27" s="11" t="n"/>
      <c r="K27" s="12">
        <f>IF(E27="","to do",IF(AND(F27&lt;&gt;"",G27&lt;&gt;"",H27&lt;&gt;""),"DONE","waiting for Claude"))</f>
        <v/>
      </c>
      <c r="L27" s="13" t="inlineStr">
        <is>
          <t>4700 uF 25 V radial electrolytic capacitor</t>
        </is>
      </c>
    </row>
    <row r="28">
      <c r="A28" s="14" t="n"/>
      <c r="B28" s="14" t="n"/>
      <c r="C28" s="8" t="n"/>
      <c r="D28" s="8" t="n"/>
      <c r="E28" s="8" t="n"/>
      <c r="F28" s="9" t="n"/>
      <c r="G28" s="9" t="n"/>
      <c r="H28" s="10" t="n"/>
      <c r="I28" s="10" t="n"/>
      <c r="J28" s="11" t="n"/>
      <c r="K28" s="12">
        <f>IF(A28="","",IF(E28="","to do",IF(AND(F28&lt;&gt;"",G28&lt;&gt;"",H28&lt;&gt;""),"DONE","waiting for Claude")))</f>
        <v/>
      </c>
      <c r="L28" s="15" t="n"/>
    </row>
    <row r="29">
      <c r="A29" s="14" t="n"/>
      <c r="B29" s="14" t="n"/>
      <c r="C29" s="8" t="n"/>
      <c r="D29" s="8" t="n"/>
      <c r="E29" s="8" t="n"/>
      <c r="F29" s="9" t="n"/>
      <c r="G29" s="9" t="n"/>
      <c r="H29" s="10" t="n"/>
      <c r="I29" s="10" t="n"/>
      <c r="J29" s="11" t="n"/>
      <c r="K29" s="12">
        <f>IF(A29="","",IF(E29="","to do",IF(AND(F29&lt;&gt;"",G29&lt;&gt;"",H29&lt;&gt;""),"DONE","waiting for Claude")))</f>
        <v/>
      </c>
      <c r="L29" s="15" t="n"/>
    </row>
    <row r="30">
      <c r="A30" s="14" t="n"/>
      <c r="B30" s="14" t="n"/>
      <c r="C30" s="8" t="n"/>
      <c r="D30" s="8" t="n"/>
      <c r="E30" s="8" t="n"/>
      <c r="F30" s="9" t="n"/>
      <c r="G30" s="9" t="n"/>
      <c r="H30" s="10" t="n"/>
      <c r="I30" s="10" t="n"/>
      <c r="J30" s="11" t="n"/>
      <c r="K30" s="12">
        <f>IF(A30="","",IF(E30="","to do",IF(AND(F30&lt;&gt;"",G30&lt;&gt;"",H30&lt;&gt;""),"DONE","waiting for Claude")))</f>
        <v/>
      </c>
      <c r="L30" s="15" t="n"/>
    </row>
    <row r="31">
      <c r="A31" s="14" t="n"/>
      <c r="B31" s="14" t="n"/>
      <c r="C31" s="8" t="n"/>
      <c r="D31" s="8" t="n"/>
      <c r="E31" s="8" t="n"/>
      <c r="F31" s="9" t="n"/>
      <c r="G31" s="9" t="n"/>
      <c r="H31" s="10" t="n"/>
      <c r="I31" s="10" t="n"/>
      <c r="J31" s="11" t="n"/>
      <c r="K31" s="12">
        <f>IF(A31="","",IF(E31="","to do",IF(AND(F31&lt;&gt;"",G31&lt;&gt;"",H31&lt;&gt;""),"DONE","waiting for Claude")))</f>
        <v/>
      </c>
      <c r="L31" s="15" t="n"/>
    </row>
    <row r="32">
      <c r="A32" s="14" t="n"/>
      <c r="B32" s="14" t="n"/>
      <c r="C32" s="8" t="n"/>
      <c r="D32" s="8" t="n"/>
      <c r="E32" s="8" t="n"/>
      <c r="F32" s="9" t="n"/>
      <c r="G32" s="9" t="n"/>
      <c r="H32" s="10" t="n"/>
      <c r="I32" s="10" t="n"/>
      <c r="J32" s="11" t="n"/>
      <c r="K32" s="12">
        <f>IF(A32="","",IF(E32="","to do",IF(AND(F32&lt;&gt;"",G32&lt;&gt;"",H32&lt;&gt;""),"DONE","waiting for Claude")))</f>
        <v/>
      </c>
      <c r="L32" s="15" t="n"/>
    </row>
    <row r="33">
      <c r="A33" s="14" t="n"/>
      <c r="B33" s="14" t="n"/>
      <c r="C33" s="8" t="n"/>
      <c r="D33" s="8" t="n"/>
      <c r="E33" s="8" t="n"/>
      <c r="F33" s="9" t="n"/>
      <c r="G33" s="9" t="n"/>
      <c r="H33" s="10" t="n"/>
      <c r="I33" s="10" t="n"/>
      <c r="J33" s="11" t="n"/>
      <c r="K33" s="12">
        <f>IF(A33="","",IF(E33="","to do",IF(AND(F33&lt;&gt;"",G33&lt;&gt;"",H33&lt;&gt;""),"DONE","waiting for Claude")))</f>
        <v/>
      </c>
      <c r="L33" s="15" t="n"/>
    </row>
    <row r="34">
      <c r="A34" s="14" t="n"/>
      <c r="B34" s="14" t="n"/>
      <c r="C34" s="8" t="n"/>
      <c r="D34" s="8" t="n"/>
      <c r="E34" s="8" t="n"/>
      <c r="F34" s="9" t="n"/>
      <c r="G34" s="9" t="n"/>
      <c r="H34" s="10" t="n"/>
      <c r="I34" s="10" t="n"/>
      <c r="J34" s="11" t="n"/>
      <c r="K34" s="12">
        <f>IF(A34="","",IF(E34="","to do",IF(AND(F34&lt;&gt;"",G34&lt;&gt;"",H34&lt;&gt;""),"DONE","waiting for Claude")))</f>
        <v/>
      </c>
      <c r="L34" s="15" t="n"/>
    </row>
    <row r="35">
      <c r="A35" s="14" t="n"/>
      <c r="B35" s="14" t="n"/>
      <c r="C35" s="8" t="n"/>
      <c r="D35" s="8" t="n"/>
      <c r="E35" s="8" t="n"/>
      <c r="F35" s="9" t="n"/>
      <c r="G35" s="9" t="n"/>
      <c r="H35" s="10" t="n"/>
      <c r="I35" s="10" t="n"/>
      <c r="J35" s="11" t="n"/>
      <c r="K35" s="12">
        <f>IF(A35="","",IF(E35="","to do",IF(AND(F35&lt;&gt;"",G35&lt;&gt;"",H35&lt;&gt;""),"DONE","waiting for Claude")))</f>
        <v/>
      </c>
      <c r="L35" s="15" t="n"/>
    </row>
    <row r="36">
      <c r="A36" s="14" t="n"/>
      <c r="B36" s="14" t="n"/>
      <c r="C36" s="8" t="n"/>
      <c r="D36" s="8" t="n"/>
      <c r="E36" s="8" t="n"/>
      <c r="F36" s="9" t="n"/>
      <c r="G36" s="9" t="n"/>
      <c r="H36" s="10" t="n"/>
      <c r="I36" s="10" t="n"/>
      <c r="J36" s="11" t="n"/>
      <c r="K36" s="12">
        <f>IF(A36="","",IF(E36="","to do",IF(AND(F36&lt;&gt;"",G36&lt;&gt;"",H36&lt;&gt;""),"DONE","waiting for Claude")))</f>
        <v/>
      </c>
      <c r="L36" s="15" t="n"/>
    </row>
    <row r="37">
      <c r="A37" s="14" t="n"/>
      <c r="B37" s="14" t="n"/>
      <c r="C37" s="8" t="n"/>
      <c r="D37" s="8" t="n"/>
      <c r="E37" s="8" t="n"/>
      <c r="F37" s="9" t="n"/>
      <c r="G37" s="9" t="n"/>
      <c r="H37" s="10" t="n"/>
      <c r="I37" s="10" t="n"/>
      <c r="J37" s="11" t="n"/>
      <c r="K37" s="12">
        <f>IF(A37="","",IF(E37="","to do",IF(AND(F37&lt;&gt;"",G37&lt;&gt;"",H37&lt;&gt;""),"DONE","waiting for Claude")))</f>
        <v/>
      </c>
      <c r="L37" s="15" t="n"/>
    </row>
    <row r="38">
      <c r="A38" s="14" t="n"/>
      <c r="B38" s="14" t="n"/>
      <c r="C38" s="8" t="n"/>
      <c r="D38" s="8" t="n"/>
      <c r="E38" s="8" t="n"/>
      <c r="F38" s="9" t="n"/>
      <c r="G38" s="9" t="n"/>
      <c r="H38" s="10" t="n"/>
      <c r="I38" s="10" t="n"/>
      <c r="J38" s="11" t="n"/>
      <c r="K38" s="12">
        <f>IF(A38="","",IF(E38="","to do",IF(AND(F38&lt;&gt;"",G38&lt;&gt;"",H38&lt;&gt;""),"DONE","waiting for Claude")))</f>
        <v/>
      </c>
      <c r="L38" s="15" t="n"/>
    </row>
    <row r="39">
      <c r="A39" s="14" t="n"/>
      <c r="B39" s="14" t="n"/>
      <c r="C39" s="8" t="n"/>
      <c r="D39" s="8" t="n"/>
      <c r="E39" s="8" t="n"/>
      <c r="F39" s="9" t="n"/>
      <c r="G39" s="9" t="n"/>
      <c r="H39" s="10" t="n"/>
      <c r="I39" s="10" t="n"/>
      <c r="J39" s="11" t="n"/>
      <c r="K39" s="12">
        <f>IF(A39="","",IF(E39="","to do",IF(AND(F39&lt;&gt;"",G39&lt;&gt;"",H39&lt;&gt;""),"DONE","waiting for Claude")))</f>
        <v/>
      </c>
      <c r="L39" s="15" t="n"/>
    </row>
    <row r="40">
      <c r="A40" s="14" t="n"/>
      <c r="B40" s="14" t="n"/>
      <c r="C40" s="8" t="n"/>
      <c r="D40" s="8" t="n"/>
      <c r="E40" s="8" t="n"/>
      <c r="F40" s="9" t="n"/>
      <c r="G40" s="9" t="n"/>
      <c r="H40" s="10" t="n"/>
      <c r="I40" s="10" t="n"/>
      <c r="J40" s="11" t="n"/>
      <c r="K40" s="12">
        <f>IF(A40="","",IF(E40="","to do",IF(AND(F40&lt;&gt;"",G40&lt;&gt;"",H40&lt;&gt;""),"DONE","waiting for Claude")))</f>
        <v/>
      </c>
      <c r="L40" s="15" t="n"/>
    </row>
    <row r="41">
      <c r="A41" s="14" t="n"/>
      <c r="B41" s="14" t="n"/>
      <c r="C41" s="8" t="n"/>
      <c r="D41" s="8" t="n"/>
      <c r="E41" s="8" t="n"/>
      <c r="F41" s="9" t="n"/>
      <c r="G41" s="9" t="n"/>
      <c r="H41" s="10" t="n"/>
      <c r="I41" s="10" t="n"/>
      <c r="J41" s="11" t="n"/>
      <c r="K41" s="12">
        <f>IF(A41="","",IF(E41="","to do",IF(AND(F41&lt;&gt;"",G41&lt;&gt;"",H41&lt;&gt;""),"DONE","waiting for Claude")))</f>
        <v/>
      </c>
      <c r="L41" s="15" t="n"/>
    </row>
  </sheetData>
  <conditionalFormatting sqref="K2:K41">
    <cfRule type="cellIs" priority="2" operator="equal" dxfId="4">
      <formula>"DONE"</formula>
    </cfRule>
    <cfRule type="cellIs" priority="3" operator="equal" dxfId="3">
      <formula>"waiting for Claude"</formula>
    </cfRule>
    <cfRule type="expression" priority="4" dxfId="2">
      <formula>OR(K2="to do",K2="add values")</formula>
    </cfRule>
  </conditionalFormatting>
  <pageMargins left="0.75" right="0.75" top="1" bottom="1" header="0.511811023622047" footer="0.511811023622047"/>
  <pageSetup orientation="landscape" fitToHeight="0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79"/>
  <sheetViews>
    <sheetView zoomScaleNormal="100" workbookViewId="0">
      <pane ySplit="1" topLeftCell="A2" activePane="bottomLeft" state="frozen"/>
      <selection pane="bottomLeft" activeCell="A1" sqref="A1"/>
    </sheetView>
  </sheetViews>
  <sheetFormatPr baseColWidth="8" defaultColWidth="8.6328125" defaultRowHeight="14.5"/>
  <cols>
    <col width="16" customWidth="1" min="1" max="1"/>
    <col width="12" customWidth="1" min="2" max="2"/>
    <col width="16" customWidth="1" min="3" max="3"/>
    <col width="12" customWidth="1" min="4" max="4"/>
  </cols>
  <sheetData>
    <row r="1">
      <c r="A1" s="16" t="inlineStr">
        <is>
          <t>Family</t>
        </is>
      </c>
      <c r="B1" s="16" t="inlineStr">
        <is>
          <t>Value</t>
        </is>
      </c>
      <c r="C1" s="16" t="inlineStr">
        <is>
          <t>LCSC number</t>
        </is>
      </c>
      <c r="D1" s="16" t="inlineStr">
        <is>
          <t>Status</t>
        </is>
      </c>
      <c r="F1" s="17" t="inlineStr">
        <is>
          <t>Values are written like 240, 1k, 3.6k, 68k (no ohm sign). Add more rows for any value you need; the design tool may ask for other E24 values.</t>
        </is>
      </c>
    </row>
    <row r="2">
      <c r="A2" s="18" t="inlineStr">
        <is>
          <t>RES-0.25W</t>
        </is>
      </c>
      <c r="B2" s="18" t="inlineStr">
        <is>
          <t>120</t>
        </is>
      </c>
      <c r="C2" s="19" t="n"/>
      <c r="D2" s="20">
        <f>IF(B2="","",IF(C2&lt;&gt;"","DONE","to do"))</f>
        <v/>
      </c>
    </row>
    <row r="3">
      <c r="A3" s="18" t="inlineStr">
        <is>
          <t>RES-0.25W</t>
        </is>
      </c>
      <c r="B3" s="18" t="inlineStr">
        <is>
          <t>240</t>
        </is>
      </c>
      <c r="C3" s="19" t="n"/>
      <c r="D3" s="20">
        <f>IF(B3="","",IF(C3&lt;&gt;"","DONE","to do"))</f>
        <v/>
      </c>
    </row>
    <row r="4">
      <c r="A4" s="18" t="inlineStr">
        <is>
          <t>RES-0.25W</t>
        </is>
      </c>
      <c r="B4" s="18" t="inlineStr">
        <is>
          <t>300</t>
        </is>
      </c>
      <c r="C4" s="19" t="n"/>
      <c r="D4" s="20">
        <f>IF(B4="","",IF(C4&lt;&gt;"","DONE","to do"))</f>
        <v/>
      </c>
    </row>
    <row r="5">
      <c r="A5" s="18" t="inlineStr">
        <is>
          <t>RES-0.25W</t>
        </is>
      </c>
      <c r="B5" s="18" t="inlineStr">
        <is>
          <t>1k</t>
        </is>
      </c>
      <c r="C5" s="19" t="n"/>
      <c r="D5" s="20">
        <f>IF(B5="","",IF(C5&lt;&gt;"","DONE","to do"))</f>
        <v/>
      </c>
    </row>
    <row r="6">
      <c r="A6" s="18" t="inlineStr">
        <is>
          <t>RES-0.25W</t>
        </is>
      </c>
      <c r="B6" s="18" t="inlineStr">
        <is>
          <t>1.8k</t>
        </is>
      </c>
      <c r="C6" s="19" t="n"/>
      <c r="D6" s="20">
        <f>IF(B6="","",IF(C6&lt;&gt;"","DONE","to do"))</f>
        <v/>
      </c>
    </row>
    <row r="7">
      <c r="A7" s="18" t="inlineStr">
        <is>
          <t>RES-0.25W</t>
        </is>
      </c>
      <c r="B7" s="18" t="inlineStr">
        <is>
          <t>3.6k</t>
        </is>
      </c>
      <c r="C7" s="19" t="n"/>
      <c r="D7" s="20">
        <f>IF(B7="","",IF(C7&lt;&gt;"","DONE","to do"))</f>
        <v/>
      </c>
    </row>
    <row r="8">
      <c r="A8" s="18" t="inlineStr">
        <is>
          <t>RES-0.25W</t>
        </is>
      </c>
      <c r="B8" s="18" t="inlineStr">
        <is>
          <t>68k</t>
        </is>
      </c>
      <c r="C8" s="19" t="n"/>
      <c r="D8" s="20">
        <f>IF(B8="","",IF(C8&lt;&gt;"","DONE","to do"))</f>
        <v/>
      </c>
    </row>
    <row r="9">
      <c r="A9" s="18" t="inlineStr">
        <is>
          <t>RES-1W</t>
        </is>
      </c>
      <c r="B9" s="18" t="inlineStr">
        <is>
          <t>470</t>
        </is>
      </c>
      <c r="C9" s="19" t="n"/>
      <c r="D9" s="20">
        <f>IF(B9="","",IF(C9&lt;&gt;"","DONE","to do"))</f>
        <v/>
      </c>
    </row>
    <row r="10">
      <c r="A10" s="19" t="n"/>
      <c r="B10" s="19" t="n"/>
      <c r="C10" s="19" t="n"/>
      <c r="D10" s="20">
        <f>IF(B10="","",IF(C10&lt;&gt;"","DONE","to do"))</f>
        <v/>
      </c>
    </row>
    <row r="11">
      <c r="A11" s="19" t="n"/>
      <c r="B11" s="19" t="n"/>
      <c r="C11" s="19" t="n"/>
      <c r="D11" s="20">
        <f>IF(B11="","",IF(C11&lt;&gt;"","DONE","to do"))</f>
        <v/>
      </c>
    </row>
    <row r="12">
      <c r="A12" s="19" t="n"/>
      <c r="B12" s="19" t="n"/>
      <c r="C12" s="19" t="n"/>
      <c r="D12" s="20">
        <f>IF(B12="","",IF(C12&lt;&gt;"","DONE","to do"))</f>
        <v/>
      </c>
    </row>
    <row r="13">
      <c r="A13" s="19" t="n"/>
      <c r="B13" s="19" t="n"/>
      <c r="C13" s="19" t="n"/>
      <c r="D13" s="20">
        <f>IF(B13="","",IF(C13&lt;&gt;"","DONE","to do"))</f>
        <v/>
      </c>
    </row>
    <row r="14">
      <c r="A14" s="19" t="n"/>
      <c r="B14" s="19" t="n"/>
      <c r="C14" s="19" t="n"/>
      <c r="D14" s="20">
        <f>IF(B14="","",IF(C14&lt;&gt;"","DONE","to do"))</f>
        <v/>
      </c>
    </row>
    <row r="15">
      <c r="A15" s="19" t="n"/>
      <c r="B15" s="19" t="n"/>
      <c r="C15" s="19" t="n"/>
      <c r="D15" s="20">
        <f>IF(B15="","",IF(C15&lt;&gt;"","DONE","to do"))</f>
        <v/>
      </c>
    </row>
    <row r="16">
      <c r="A16" s="19" t="n"/>
      <c r="B16" s="19" t="n"/>
      <c r="C16" s="19" t="n"/>
      <c r="D16" s="20">
        <f>IF(B16="","",IF(C16&lt;&gt;"","DONE","to do"))</f>
        <v/>
      </c>
    </row>
    <row r="17">
      <c r="A17" s="19" t="n"/>
      <c r="B17" s="19" t="n"/>
      <c r="C17" s="19" t="n"/>
      <c r="D17" s="20">
        <f>IF(B17="","",IF(C17&lt;&gt;"","DONE","to do"))</f>
        <v/>
      </c>
    </row>
    <row r="18">
      <c r="A18" s="19" t="n"/>
      <c r="B18" s="19" t="n"/>
      <c r="C18" s="19" t="n"/>
      <c r="D18" s="20">
        <f>IF(B18="","",IF(C18&lt;&gt;"","DONE","to do"))</f>
        <v/>
      </c>
    </row>
    <row r="19">
      <c r="A19" s="19" t="n"/>
      <c r="B19" s="19" t="n"/>
      <c r="C19" s="19" t="n"/>
      <c r="D19" s="20">
        <f>IF(B19="","",IF(C19&lt;&gt;"","DONE","to do"))</f>
        <v/>
      </c>
    </row>
    <row r="20">
      <c r="A20" s="19" t="n"/>
      <c r="B20" s="19" t="n"/>
      <c r="C20" s="19" t="n"/>
      <c r="D20" s="20">
        <f>IF(B20="","",IF(C20&lt;&gt;"","DONE","to do"))</f>
        <v/>
      </c>
    </row>
    <row r="21">
      <c r="A21" s="19" t="n"/>
      <c r="B21" s="19" t="n"/>
      <c r="C21" s="19" t="n"/>
      <c r="D21" s="20">
        <f>IF(B21="","",IF(C21&lt;&gt;"","DONE","to do"))</f>
        <v/>
      </c>
    </row>
    <row r="22">
      <c r="A22" s="19" t="n"/>
      <c r="B22" s="19" t="n"/>
      <c r="C22" s="19" t="n"/>
      <c r="D22" s="20">
        <f>IF(B22="","",IF(C22&lt;&gt;"","DONE","to do"))</f>
        <v/>
      </c>
    </row>
    <row r="23">
      <c r="A23" s="19" t="n"/>
      <c r="B23" s="19" t="n"/>
      <c r="C23" s="19" t="n"/>
      <c r="D23" s="20">
        <f>IF(B23="","",IF(C23&lt;&gt;"","DONE","to do"))</f>
        <v/>
      </c>
    </row>
    <row r="24">
      <c r="A24" s="19" t="n"/>
      <c r="B24" s="19" t="n"/>
      <c r="C24" s="19" t="n"/>
      <c r="D24" s="20">
        <f>IF(B24="","",IF(C24&lt;&gt;"","DONE","to do"))</f>
        <v/>
      </c>
    </row>
    <row r="25">
      <c r="A25" s="19" t="n"/>
      <c r="B25" s="19" t="n"/>
      <c r="C25" s="19" t="n"/>
      <c r="D25" s="20">
        <f>IF(B25="","",IF(C25&lt;&gt;"","DONE","to do"))</f>
        <v/>
      </c>
    </row>
    <row r="26">
      <c r="A26" s="19" t="n"/>
      <c r="B26" s="19" t="n"/>
      <c r="C26" s="19" t="n"/>
      <c r="D26" s="20">
        <f>IF(B26="","",IF(C26&lt;&gt;"","DONE","to do"))</f>
        <v/>
      </c>
    </row>
    <row r="27">
      <c r="A27" s="19" t="n"/>
      <c r="B27" s="19" t="n"/>
      <c r="C27" s="19" t="n"/>
      <c r="D27" s="20">
        <f>IF(B27="","",IF(C27&lt;&gt;"","DONE","to do"))</f>
        <v/>
      </c>
    </row>
    <row r="28">
      <c r="A28" s="19" t="n"/>
      <c r="B28" s="19" t="n"/>
      <c r="C28" s="19" t="n"/>
      <c r="D28" s="20">
        <f>IF(B28="","",IF(C28&lt;&gt;"","DONE","to do"))</f>
        <v/>
      </c>
    </row>
    <row r="29">
      <c r="A29" s="19" t="n"/>
      <c r="B29" s="19" t="n"/>
      <c r="C29" s="19" t="n"/>
      <c r="D29" s="20">
        <f>IF(B29="","",IF(C29&lt;&gt;"","DONE","to do"))</f>
        <v/>
      </c>
    </row>
    <row r="30">
      <c r="A30" s="19" t="n"/>
      <c r="B30" s="19" t="n"/>
      <c r="C30" s="19" t="n"/>
      <c r="D30" s="20">
        <f>IF(B30="","",IF(C30&lt;&gt;"","DONE","to do"))</f>
        <v/>
      </c>
    </row>
    <row r="31">
      <c r="A31" s="19" t="n"/>
      <c r="B31" s="19" t="n"/>
      <c r="C31" s="19" t="n"/>
      <c r="D31" s="20">
        <f>IF(B31="","",IF(C31&lt;&gt;"","DONE","to do"))</f>
        <v/>
      </c>
    </row>
    <row r="32">
      <c r="A32" s="19" t="n"/>
      <c r="B32" s="19" t="n"/>
      <c r="C32" s="19" t="n"/>
      <c r="D32" s="20">
        <f>IF(B32="","",IF(C32&lt;&gt;"","DONE","to do"))</f>
        <v/>
      </c>
    </row>
    <row r="33">
      <c r="A33" s="19" t="n"/>
      <c r="B33" s="19" t="n"/>
      <c r="C33" s="19" t="n"/>
      <c r="D33" s="20">
        <f>IF(B33="","",IF(C33&lt;&gt;"","DONE","to do"))</f>
        <v/>
      </c>
    </row>
    <row r="34">
      <c r="A34" s="19" t="n"/>
      <c r="B34" s="19" t="n"/>
      <c r="C34" s="19" t="n"/>
      <c r="D34" s="20">
        <f>IF(B34="","",IF(C34&lt;&gt;"","DONE","to do"))</f>
        <v/>
      </c>
    </row>
    <row r="35">
      <c r="A35" s="19" t="n"/>
      <c r="B35" s="19" t="n"/>
      <c r="C35" s="19" t="n"/>
      <c r="D35" s="20">
        <f>IF(B35="","",IF(C35&lt;&gt;"","DONE","to do"))</f>
        <v/>
      </c>
    </row>
    <row r="36">
      <c r="A36" s="19" t="n"/>
      <c r="B36" s="19" t="n"/>
      <c r="C36" s="19" t="n"/>
      <c r="D36" s="20">
        <f>IF(B36="","",IF(C36&lt;&gt;"","DONE","to do"))</f>
        <v/>
      </c>
    </row>
    <row r="37">
      <c r="A37" s="19" t="n"/>
      <c r="B37" s="19" t="n"/>
      <c r="C37" s="19" t="n"/>
      <c r="D37" s="20">
        <f>IF(B37="","",IF(C37&lt;&gt;"","DONE","to do"))</f>
        <v/>
      </c>
    </row>
    <row r="38">
      <c r="A38" s="19" t="n"/>
      <c r="B38" s="19" t="n"/>
      <c r="C38" s="19" t="n"/>
      <c r="D38" s="20">
        <f>IF(B38="","",IF(C38&lt;&gt;"","DONE","to do"))</f>
        <v/>
      </c>
    </row>
    <row r="39">
      <c r="A39" s="19" t="n"/>
      <c r="B39" s="19" t="n"/>
      <c r="C39" s="19" t="n"/>
      <c r="D39" s="20">
        <f>IF(B39="","",IF(C39&lt;&gt;"","DONE","to do"))</f>
        <v/>
      </c>
    </row>
    <row r="40">
      <c r="A40" s="19" t="n"/>
      <c r="B40" s="19" t="n"/>
      <c r="C40" s="19" t="n"/>
      <c r="D40" s="20">
        <f>IF(B40="","",IF(C40&lt;&gt;"","DONE","to do"))</f>
        <v/>
      </c>
    </row>
    <row r="41">
      <c r="A41" s="19" t="n"/>
      <c r="B41" s="19" t="n"/>
      <c r="C41" s="19" t="n"/>
      <c r="D41" s="20">
        <f>IF(B41="","",IF(C41&lt;&gt;"","DONE","to do"))</f>
        <v/>
      </c>
    </row>
    <row r="42">
      <c r="A42" s="19" t="n"/>
      <c r="B42" s="19" t="n"/>
      <c r="C42" s="19" t="n"/>
      <c r="D42" s="20">
        <f>IF(B42="","",IF(C42&lt;&gt;"","DONE","to do"))</f>
        <v/>
      </c>
    </row>
    <row r="43">
      <c r="A43" s="19" t="n"/>
      <c r="B43" s="19" t="n"/>
      <c r="C43" s="19" t="n"/>
      <c r="D43" s="20">
        <f>IF(B43="","",IF(C43&lt;&gt;"","DONE","to do"))</f>
        <v/>
      </c>
    </row>
    <row r="44">
      <c r="A44" s="19" t="n"/>
      <c r="B44" s="19" t="n"/>
      <c r="C44" s="19" t="n"/>
      <c r="D44" s="20">
        <f>IF(B44="","",IF(C44&lt;&gt;"","DONE","to do"))</f>
        <v/>
      </c>
    </row>
    <row r="45">
      <c r="A45" s="19" t="n"/>
      <c r="B45" s="19" t="n"/>
      <c r="C45" s="19" t="n"/>
      <c r="D45" s="20">
        <f>IF(B45="","",IF(C45&lt;&gt;"","DONE","to do"))</f>
        <v/>
      </c>
    </row>
    <row r="46">
      <c r="A46" s="19" t="n"/>
      <c r="B46" s="19" t="n"/>
      <c r="C46" s="19" t="n"/>
      <c r="D46" s="20">
        <f>IF(B46="","",IF(C46&lt;&gt;"","DONE","to do"))</f>
        <v/>
      </c>
    </row>
    <row r="47">
      <c r="A47" s="19" t="n"/>
      <c r="B47" s="19" t="n"/>
      <c r="C47" s="19" t="n"/>
      <c r="D47" s="20">
        <f>IF(B47="","",IF(C47&lt;&gt;"","DONE","to do"))</f>
        <v/>
      </c>
    </row>
    <row r="48">
      <c r="A48" s="19" t="n"/>
      <c r="B48" s="19" t="n"/>
      <c r="C48" s="19" t="n"/>
      <c r="D48" s="20">
        <f>IF(B48="","",IF(C48&lt;&gt;"","DONE","to do"))</f>
        <v/>
      </c>
    </row>
    <row r="49">
      <c r="A49" s="19" t="n"/>
      <c r="B49" s="19" t="n"/>
      <c r="C49" s="19" t="n"/>
      <c r="D49" s="20">
        <f>IF(B49="","",IF(C49&lt;&gt;"","DONE","to do"))</f>
        <v/>
      </c>
    </row>
    <row r="50">
      <c r="A50" s="19" t="n"/>
      <c r="B50" s="19" t="n"/>
      <c r="C50" s="19" t="n"/>
      <c r="D50" s="20">
        <f>IF(B50="","",IF(C50&lt;&gt;"","DONE","to do"))</f>
        <v/>
      </c>
    </row>
    <row r="51">
      <c r="A51" s="19" t="n"/>
      <c r="B51" s="19" t="n"/>
      <c r="C51" s="19" t="n"/>
      <c r="D51" s="20">
        <f>IF(B51="","",IF(C51&lt;&gt;"","DONE","to do"))</f>
        <v/>
      </c>
    </row>
    <row r="52">
      <c r="A52" s="19" t="n"/>
      <c r="B52" s="19" t="n"/>
      <c r="C52" s="19" t="n"/>
      <c r="D52" s="20">
        <f>IF(B52="","",IF(C52&lt;&gt;"","DONE","to do"))</f>
        <v/>
      </c>
    </row>
    <row r="53">
      <c r="A53" s="19" t="n"/>
      <c r="B53" s="19" t="n"/>
      <c r="C53" s="19" t="n"/>
      <c r="D53" s="20">
        <f>IF(B53="","",IF(C53&lt;&gt;"","DONE","to do"))</f>
        <v/>
      </c>
    </row>
    <row r="54">
      <c r="A54" s="19" t="n"/>
      <c r="B54" s="19" t="n"/>
      <c r="C54" s="19" t="n"/>
      <c r="D54" s="20">
        <f>IF(B54="","",IF(C54&lt;&gt;"","DONE","to do"))</f>
        <v/>
      </c>
    </row>
    <row r="55">
      <c r="A55" s="19" t="n"/>
      <c r="B55" s="19" t="n"/>
      <c r="C55" s="19" t="n"/>
      <c r="D55" s="20">
        <f>IF(B55="","",IF(C55&lt;&gt;"","DONE","to do"))</f>
        <v/>
      </c>
    </row>
    <row r="56">
      <c r="A56" s="19" t="n"/>
      <c r="B56" s="19" t="n"/>
      <c r="C56" s="19" t="n"/>
      <c r="D56" s="20">
        <f>IF(B56="","",IF(C56&lt;&gt;"","DONE","to do"))</f>
        <v/>
      </c>
    </row>
    <row r="57">
      <c r="A57" s="19" t="n"/>
      <c r="B57" s="19" t="n"/>
      <c r="C57" s="19" t="n"/>
      <c r="D57" s="20">
        <f>IF(B57="","",IF(C57&lt;&gt;"","DONE","to do"))</f>
        <v/>
      </c>
    </row>
    <row r="58">
      <c r="A58" s="19" t="n"/>
      <c r="B58" s="19" t="n"/>
      <c r="C58" s="19" t="n"/>
      <c r="D58" s="20">
        <f>IF(B58="","",IF(C58&lt;&gt;"","DONE","to do"))</f>
        <v/>
      </c>
    </row>
    <row r="59">
      <c r="A59" s="19" t="n"/>
      <c r="B59" s="19" t="n"/>
      <c r="C59" s="19" t="n"/>
      <c r="D59" s="20">
        <f>IF(B59="","",IF(C59&lt;&gt;"","DONE","to do"))</f>
        <v/>
      </c>
    </row>
    <row r="60">
      <c r="A60" s="19" t="n"/>
      <c r="B60" s="19" t="n"/>
      <c r="C60" s="19" t="n"/>
      <c r="D60" s="20">
        <f>IF(B60="","",IF(C60&lt;&gt;"","DONE","to do"))</f>
        <v/>
      </c>
    </row>
    <row r="61">
      <c r="A61" s="19" t="n"/>
      <c r="B61" s="19" t="n"/>
      <c r="C61" s="19" t="n"/>
      <c r="D61" s="20">
        <f>IF(B61="","",IF(C61&lt;&gt;"","DONE","to do"))</f>
        <v/>
      </c>
    </row>
    <row r="62">
      <c r="A62" s="19" t="n"/>
      <c r="B62" s="19" t="n"/>
      <c r="C62" s="19" t="n"/>
      <c r="D62" s="20">
        <f>IF(B62="","",IF(C62&lt;&gt;"","DONE","to do"))</f>
        <v/>
      </c>
    </row>
    <row r="63">
      <c r="A63" s="19" t="n"/>
      <c r="B63" s="19" t="n"/>
      <c r="C63" s="19" t="n"/>
      <c r="D63" s="20">
        <f>IF(B63="","",IF(C63&lt;&gt;"","DONE","to do"))</f>
        <v/>
      </c>
    </row>
    <row r="64">
      <c r="A64" s="19" t="n"/>
      <c r="B64" s="19" t="n"/>
      <c r="C64" s="19" t="n"/>
      <c r="D64" s="20">
        <f>IF(B64="","",IF(C64&lt;&gt;"","DONE","to do"))</f>
        <v/>
      </c>
    </row>
    <row r="65">
      <c r="A65" s="19" t="n"/>
      <c r="B65" s="19" t="n"/>
      <c r="C65" s="19" t="n"/>
      <c r="D65" s="20">
        <f>IF(B65="","",IF(C65&lt;&gt;"","DONE","to do"))</f>
        <v/>
      </c>
    </row>
    <row r="66">
      <c r="A66" s="19" t="n"/>
      <c r="B66" s="19" t="n"/>
      <c r="C66" s="19" t="n"/>
      <c r="D66" s="20">
        <f>IF(B66="","",IF(C66&lt;&gt;"","DONE","to do"))</f>
        <v/>
      </c>
    </row>
    <row r="67">
      <c r="A67" s="19" t="n"/>
      <c r="B67" s="19" t="n"/>
      <c r="C67" s="19" t="n"/>
      <c r="D67" s="20">
        <f>IF(B67="","",IF(C67&lt;&gt;"","DONE","to do"))</f>
        <v/>
      </c>
    </row>
    <row r="68">
      <c r="A68" s="19" t="n"/>
      <c r="B68" s="19" t="n"/>
      <c r="C68" s="19" t="n"/>
      <c r="D68" s="20">
        <f>IF(B68="","",IF(C68&lt;&gt;"","DONE","to do"))</f>
        <v/>
      </c>
    </row>
    <row r="69">
      <c r="A69" s="19" t="n"/>
      <c r="B69" s="19" t="n"/>
      <c r="C69" s="19" t="n"/>
      <c r="D69" s="20">
        <f>IF(B69="","",IF(C69&lt;&gt;"","DONE","to do"))</f>
        <v/>
      </c>
    </row>
    <row r="70">
      <c r="A70" s="19" t="n"/>
      <c r="B70" s="19" t="n"/>
      <c r="C70" s="19" t="n"/>
      <c r="D70" s="20">
        <f>IF(B70="","",IF(C70&lt;&gt;"","DONE","to do"))</f>
        <v/>
      </c>
    </row>
    <row r="71">
      <c r="A71" s="19" t="n"/>
      <c r="B71" s="19" t="n"/>
      <c r="C71" s="19" t="n"/>
      <c r="D71" s="20">
        <f>IF(B71="","",IF(C71&lt;&gt;"","DONE","to do"))</f>
        <v/>
      </c>
    </row>
    <row r="72">
      <c r="A72" s="19" t="n"/>
      <c r="B72" s="19" t="n"/>
      <c r="C72" s="19" t="n"/>
      <c r="D72" s="20">
        <f>IF(B72="","",IF(C72&lt;&gt;"","DONE","to do"))</f>
        <v/>
      </c>
    </row>
    <row r="73">
      <c r="A73" s="19" t="n"/>
      <c r="B73" s="19" t="n"/>
      <c r="C73" s="19" t="n"/>
      <c r="D73" s="20">
        <f>IF(B73="","",IF(C73&lt;&gt;"","DONE","to do"))</f>
        <v/>
      </c>
    </row>
    <row r="74">
      <c r="A74" s="19" t="n"/>
      <c r="B74" s="19" t="n"/>
      <c r="C74" s="19" t="n"/>
      <c r="D74" s="20">
        <f>IF(B74="","",IF(C74&lt;&gt;"","DONE","to do"))</f>
        <v/>
      </c>
    </row>
    <row r="75">
      <c r="A75" s="19" t="n"/>
      <c r="B75" s="19" t="n"/>
      <c r="C75" s="19" t="n"/>
      <c r="D75" s="20">
        <f>IF(B75="","",IF(C75&lt;&gt;"","DONE","to do"))</f>
        <v/>
      </c>
    </row>
    <row r="76">
      <c r="A76" s="19" t="n"/>
      <c r="B76" s="19" t="n"/>
      <c r="C76" s="19" t="n"/>
      <c r="D76" s="20">
        <f>IF(B76="","",IF(C76&lt;&gt;"","DONE","to do"))</f>
        <v/>
      </c>
    </row>
    <row r="77">
      <c r="A77" s="19" t="n"/>
      <c r="B77" s="19" t="n"/>
      <c r="C77" s="19" t="n"/>
      <c r="D77" s="20">
        <f>IF(B77="","",IF(C77&lt;&gt;"","DONE","to do"))</f>
        <v/>
      </c>
    </row>
    <row r="78">
      <c r="A78" s="19" t="n"/>
      <c r="B78" s="19" t="n"/>
      <c r="C78" s="19" t="n"/>
      <c r="D78" s="20">
        <f>IF(B78="","",IF(C78&lt;&gt;"","DONE","to do"))</f>
        <v/>
      </c>
    </row>
    <row r="79">
      <c r="A79" s="19" t="n"/>
      <c r="B79" s="19" t="n"/>
      <c r="C79" s="19" t="n"/>
      <c r="D79" s="20">
        <f>IF(B79="","",IF(C79&lt;&gt;"","DONE","to do"))</f>
        <v/>
      </c>
    </row>
  </sheetData>
  <conditionalFormatting sqref="D2:D79">
    <cfRule type="cellIs" priority="2" operator="equal" dxfId="1">
      <formula>"DONE"</formula>
    </cfRule>
    <cfRule type="cellIs" priority="3" operator="equal" dxfId="0">
      <formula>"to do"</formula>
    </cfRule>
  </conditionalFormatting>
  <dataValidations count="1">
    <dataValidation sqref="A2:A79" showDropDown="0" showInputMessage="0" showErrorMessage="0" allowBlank="1" type="list">
      <formula1>"RES-0.25W,RES-1W"</formula1>
      <formula2>0</formula2>
    </dataValidation>
  </dataValidations>
  <pageMargins left="0.75" right="0.75" top="1" bottom="1" header="0.511811023622047" footer="0.511811023622047"/>
  <pageSetup orientation="landscape" fitToHeight="0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2026-10-17T16:19:11Z</dcterms:created>
  <dcterms:modified xmlns:dcterms="http://purl.org/dc/terms/" xmlns:xsi="http://www.w3.org/2001/XMLSchema-instance" xsi:type="dcterms:W3CDTF">2026-10-22T17:56:09Z</dcterms:modified>
  <cp:lastModifiedBy>Hamna Arshad</cp:lastModifiedBy>
  <cp:revision>0</cp:revision>
</cp:coreProperties>
</file>