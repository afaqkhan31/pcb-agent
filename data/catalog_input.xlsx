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Parts" sheetId="2" state="visible" r:id="rId4"/>
    <sheet name="Resistor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<sst xmlns="http://schemas.openxmlformats.org/spreadsheetml/2006/main" count="196" uniqueCount="123">
  <si>
    <t xml:space="preserve">How to fill this sheet</t>
  </si>
  <si>
    <t xml:space="preserve">1. Open the 'Parts' sheet. Grey cells are pre-filled: do not change them.</t>
  </si>
  <si>
    <t xml:space="preserve">2. YELLOW column 'LCSC number' is the ONLY thing you fill in. Search each part on lcsc.com.</t>
  </si>
  <si>
    <t xml:space="preserve">   Choose one that is IN STOCK and THROUGH-HOLE (never SMD). Copy the C-number from the product page. Do not type it from memory.</t>
  </si>
  <si>
    <t xml:space="preserve">3. Resistors: on the 'Resistors' sheet type the LCSC number next to each value (each value has its own C-number).</t>
  </si>
  <si>
    <t xml:space="preserve">4. BLUE columns (package, pin numbers, voltage, current, notes) are filled by Claude from the LCSC page. Leave them empty.</t>
  </si>
  <si>
    <t xml:space="preserve">5. Save the file (Ctrl+S) and send it to Hamdan. Claude checks every LCSC number (in stock? through-hole? the right part?),</t>
  </si>
  <si>
    <t xml:space="preserve">   fills the blue columns, and sends back the finished sheet plus data/components.json.</t>
  </si>
  <si>
    <t xml:space="preserve">6. Then commit both files (see your guide). To rebuild components.json yourself at any time, run:</t>
  </si>
  <si>
    <t xml:space="preserve">      python -m tools.catalog_from_excel</t>
  </si>
  <si>
    <t xml:space="preserve">7. Pin numbers are standard for the package and are double-checked in EasyEDA by Hamdan (and by the builder's pin check).</t>
  </si>
  <si>
    <t xml:space="preserve">   Not sure about a part? Type CHECK in Notes and tell Hamdan.</t>
  </si>
  <si>
    <t xml:space="preserve">Example row (already filled in): L7805CV. Copy its style.</t>
  </si>
  <si>
    <t xml:space="preserve">Extra parts: use the empty yellow rows at the bottom of Parts. Ask Hamdan first: the design templates only use the parts listed.</t>
  </si>
  <si>
    <t xml:space="preserve">Parts ready:</t>
  </si>
  <si>
    <t xml:space="preserve">Part key</t>
  </si>
  <si>
    <t xml:space="preserve">Category</t>
  </si>
  <si>
    <t xml:space="preserve">Pin names</t>
  </si>
  <si>
    <t xml:space="preserve">Typical pin numbers</t>
  </si>
  <si>
    <t xml:space="preserve">LCSC number</t>
  </si>
  <si>
    <t xml:space="preserve">Package</t>
  </si>
  <si>
    <t xml:space="preserve">Pin numbers</t>
  </si>
  <si>
    <t xml:space="preserve">Max voltage (V)</t>
  </si>
  <si>
    <t xml:space="preserve">Max current (A)</t>
  </si>
  <si>
    <t xml:space="preserve">Notes</t>
  </si>
  <si>
    <t xml:space="preserve">Status</t>
  </si>
  <si>
    <t xml:space="preserve">Description</t>
  </si>
  <si>
    <t xml:space="preserve">KF301-5.0-2P</t>
  </si>
  <si>
    <t xml:space="preserve">connector</t>
  </si>
  <si>
    <t xml:space="preserve">1, 2</t>
  </si>
  <si>
    <t xml:space="preserve">2-pin 5.0 mm screw terminal block</t>
  </si>
  <si>
    <t xml:space="preserve">1N4007-TP</t>
  </si>
  <si>
    <t xml:space="preserve">diode</t>
  </si>
  <si>
    <t xml:space="preserve">K, A</t>
  </si>
  <si>
    <t xml:space="preserve">C78736</t>
  </si>
  <si>
    <t xml:space="preserve">DO-41</t>
  </si>
  <si>
    <t xml:space="preserve">Band marks the cathode.</t>
  </si>
  <si>
    <t xml:space="preserve">1000 V 1 A general purpose rectifier diode (MCC)</t>
  </si>
  <si>
    <t xml:space="preserve">1N5408</t>
  </si>
  <si>
    <t xml:space="preserve">1000 V 3 A rectifier diode</t>
  </si>
  <si>
    <t xml:space="preserve">W04M</t>
  </si>
  <si>
    <t xml:space="preserve">bridge_rectifier</t>
  </si>
  <si>
    <t xml:space="preserve">+, AC1, -, AC2</t>
  </si>
  <si>
    <t xml:space="preserve">1, 2, 3, 4</t>
  </si>
  <si>
    <t xml:space="preserve">400 V 1.5 A bridge rectifier, through-hole</t>
  </si>
  <si>
    <t xml:space="preserve">KBP206</t>
  </si>
  <si>
    <t xml:space="preserve">+, AC1, AC2, -</t>
  </si>
  <si>
    <t xml:space="preserve">600 V 2 A bridge rectifier, through-hole</t>
  </si>
  <si>
    <t xml:space="preserve">L7805CV</t>
  </si>
  <si>
    <t xml:space="preserve">regulator</t>
  </si>
  <si>
    <t xml:space="preserve">IN, GND, OUT</t>
  </si>
  <si>
    <t xml:space="preserve">1, 2, 3</t>
  </si>
  <si>
    <t xml:space="preserve">C111887</t>
  </si>
  <si>
    <t xml:space="preserve">TO-220</t>
  </si>
  <si>
    <t xml:space="preserve">Needs about 2-3 V headroom. 0.33 uF in, 0.1 uF out.</t>
  </si>
  <si>
    <t xml:space="preserve">5 V 1.5 A fixed positive linear regulator (STMicroelectronics)</t>
  </si>
  <si>
    <t xml:space="preserve">L7809CV</t>
  </si>
  <si>
    <t xml:space="preserve">9 V 1.5 A fixed linear regulator</t>
  </si>
  <si>
    <t xml:space="preserve">L7812CV</t>
  </si>
  <si>
    <t xml:space="preserve">12 V 1.5 A fixed linear regulator</t>
  </si>
  <si>
    <t xml:space="preserve">LM317T</t>
  </si>
  <si>
    <t xml:space="preserve">ADJ, OUT, IN</t>
  </si>
  <si>
    <t xml:space="preserve">Adjustable 1.25-37 V 1.5 A linear regulator</t>
  </si>
  <si>
    <t xml:space="preserve">NE555P</t>
  </si>
  <si>
    <t xml:space="preserve">timer_ic</t>
  </si>
  <si>
    <t xml:space="preserve">GND, TRIG, OUT, RESET, CTRL, THR, DIS, VCC</t>
  </si>
  <si>
    <t xml:space="preserve">1, 2, 3, 4, 5, 6, 7, 8</t>
  </si>
  <si>
    <t xml:space="preserve">NE555 timer, DIP-8</t>
  </si>
  <si>
    <t xml:space="preserve">POT-5K-RV09</t>
  </si>
  <si>
    <t xml:space="preserve">potentiometer</t>
  </si>
  <si>
    <t xml:space="preserve">1, W, 3</t>
  </si>
  <si>
    <t xml:space="preserve">5k linear potentiometer, through-hole</t>
  </si>
  <si>
    <t xml:space="preserve">POT-10K-RV09</t>
  </si>
  <si>
    <t xml:space="preserve">10k linear potentiometer, through-hole</t>
  </si>
  <si>
    <t xml:space="preserve">RES-0.25W</t>
  </si>
  <si>
    <t xml:space="preserve">resistor</t>
  </si>
  <si>
    <t xml:space="preserve">see Resistors sheet</t>
  </si>
  <si>
    <t xml:space="preserve">Axial 10.16 mm</t>
  </si>
  <si>
    <t xml:space="preserve">Resistor, 1/4 W, axial</t>
  </si>
  <si>
    <t xml:space="preserve">RES-1W</t>
  </si>
  <si>
    <t xml:space="preserve">Resistor, 1 W, axial</t>
  </si>
  <si>
    <t xml:space="preserve">CAP-CER-100NF-50V</t>
  </si>
  <si>
    <t xml:space="preserve">capacitor_ceramic</t>
  </si>
  <si>
    <t xml:space="preserve">100 nF 50 V ceramic capacitor, radial</t>
  </si>
  <si>
    <t xml:space="preserve">CAP-CER-10NF-50V</t>
  </si>
  <si>
    <t xml:space="preserve">10 nF 50 V ceramic capacitor, radial</t>
  </si>
  <si>
    <t xml:space="preserve">LED-5MM-RED</t>
  </si>
  <si>
    <t xml:space="preserve">led</t>
  </si>
  <si>
    <t xml:space="preserve">5 mm red LED</t>
  </si>
  <si>
    <t xml:space="preserve">LED-5MM-WHITE</t>
  </si>
  <si>
    <t xml:space="preserve">5 mm white LED</t>
  </si>
  <si>
    <t xml:space="preserve">LED-3MM-GREEN</t>
  </si>
  <si>
    <t xml:space="preserve">3 mm green LED</t>
  </si>
  <si>
    <t xml:space="preserve">CAP-ELEC-10UF-16V</t>
  </si>
  <si>
    <t xml:space="preserve">capacitor_electrolytic</t>
  </si>
  <si>
    <t xml:space="preserve">+, -</t>
  </si>
  <si>
    <t xml:space="preserve">10 uF 16 V radial electrolytic capacitor</t>
  </si>
  <si>
    <t xml:space="preserve">CAP-ELEC-100UF-25V</t>
  </si>
  <si>
    <t xml:space="preserve">C44601</t>
  </si>
  <si>
    <t xml:space="preserve">Radial D6.3mm P2.5mm</t>
  </si>
  <si>
    <t xml:space="preserve">Use at most about 80% of rated voltage.</t>
  </si>
  <si>
    <t xml:space="preserve">100 uF 25 V radial electrolytic capacitor, 6.3 x 11 mm</t>
  </si>
  <si>
    <t xml:space="preserve">CAP-ELEC-100UF-50V</t>
  </si>
  <si>
    <t xml:space="preserve">100 uF 50 V radial electrolytic capacitor</t>
  </si>
  <si>
    <t xml:space="preserve">CAP-ELEC-470UF-25V</t>
  </si>
  <si>
    <t xml:space="preserve">470 uF 25 V radial electrolytic capacitor</t>
  </si>
  <si>
    <t xml:space="preserve">CAP-ELEC-1000UF-25V</t>
  </si>
  <si>
    <t xml:space="preserve">1000 uF 25 V radial electrolytic capacitor</t>
  </si>
  <si>
    <t xml:space="preserve">CAP-ELEC-2200UF-25V</t>
  </si>
  <si>
    <t xml:space="preserve">2200 uF 25 V radial electrolytic capacitor</t>
  </si>
  <si>
    <t xml:space="preserve">CAP-ELEC-4700UF-25V</t>
  </si>
  <si>
    <t xml:space="preserve">4700 uF 25 V radial electrolytic capacitor</t>
  </si>
  <si>
    <t xml:space="preserve">Family</t>
  </si>
  <si>
    <t xml:space="preserve">Value</t>
  </si>
  <si>
    <t xml:space="preserve">Values are written like 240, 1k, 3.6k, 68k (no ohm sign). Add more rows for any value you need; the design tool may ask for other E24 values.</t>
  </si>
  <si>
    <t xml:space="preserve">120</t>
  </si>
  <si>
    <t xml:space="preserve">240</t>
  </si>
  <si>
    <t xml:space="preserve">300</t>
  </si>
  <si>
    <t xml:space="preserve">1k</t>
  </si>
  <si>
    <t xml:space="preserve">1.8k</t>
  </si>
  <si>
    <t xml:space="preserve">3.6k</t>
  </si>
  <si>
    <t xml:space="preserve">68k</t>
  </si>
  <si>
    <t xml:space="preserve">470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</si>
</sst>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Consolas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7E6E6"/>
        <bgColor rgb="FFDDEBF7"/>
      </patternFill>
    </fill>
    <fill>
      <patternFill patternType="solid">
        <fgColor rgb="FFFFF2CC"/>
        <bgColor rgb="FFFFEB9C"/>
      </patternFill>
    </fill>
    <fill>
      <patternFill patternType="solid">
        <fgColor rgb="FFDDEBF7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2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3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 t="s">
        <v>11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4" t="s">
        <v>14</v>
      </c>
      <c r="B18" s="4" t="str">
        <f aca="false">COUNTIF(Parts!K2:K60,"DONE")&amp;" of "&amp;COUNTA(Parts!A2:A60)</f>
        <v>3 of 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3" min="3" style="0" width="46"/>
    <col collapsed="false" customWidth="true" hidden="false" outlineLevel="0" max="4" min="4" style="0" width="18"/>
    <col collapsed="false" customWidth="true" hidden="false" outlineLevel="0" max="6" min="5" style="0" width="20"/>
    <col collapsed="false" customWidth="true" hidden="false" outlineLevel="0" max="7" min="7" style="0" width="16"/>
    <col collapsed="false" customWidth="true" hidden="false" outlineLevel="0" max="9" min="8" style="0" width="12"/>
    <col collapsed="false" customWidth="true" hidden="false" outlineLevel="0" max="10" min="10" style="0" width="30"/>
    <col collapsed="false" customWidth="true" hidden="false" outlineLevel="0" max="11" min="11" style="0" width="20"/>
    <col collapsed="false" customWidth="true" hidden="false" outlineLevel="0" max="12" min="12" style="0" width="44"/>
  </cols>
  <sheetData>
    <row r="1" customFormat="false" ht="30" hidden="false" customHeight="true" outlineLevel="0" collapsed="false">
      <c r="A1" s="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5" t="s">
        <v>24</v>
      </c>
      <c r="K1" s="5" t="s">
        <v>25</v>
      </c>
      <c r="L1" s="5" t="s">
        <v>26</v>
      </c>
    </row>
    <row r="2" customFormat="false" ht="15" hidden="false" customHeight="false" outlineLevel="0" collapsed="false">
      <c r="A2" s="6" t="s">
        <v>27</v>
      </c>
      <c r="B2" s="6" t="s">
        <v>28</v>
      </c>
      <c r="C2" s="7" t="s">
        <v>29</v>
      </c>
      <c r="D2" s="7" t="s">
        <v>29</v>
      </c>
      <c r="E2" s="8"/>
      <c r="F2" s="9"/>
      <c r="G2" s="9"/>
      <c r="H2" s="10"/>
      <c r="I2" s="10"/>
      <c r="J2" s="11"/>
      <c r="K2" s="12" t="str">
        <f aca="false">IF(E2="","to do",IF(AND(F2&lt;&gt;"",G2&lt;&gt;"",H2&lt;&gt;""),"DONE","waiting for Claude"))</f>
        <v>to do</v>
      </c>
      <c r="L2" s="13" t="s">
        <v>30</v>
      </c>
    </row>
    <row r="3" customFormat="false" ht="15" hidden="false" customHeight="false" outlineLevel="0" collapsed="false">
      <c r="A3" s="6" t="s">
        <v>31</v>
      </c>
      <c r="B3" s="6" t="s">
        <v>32</v>
      </c>
      <c r="C3" s="7" t="s">
        <v>33</v>
      </c>
      <c r="D3" s="7" t="s">
        <v>29</v>
      </c>
      <c r="E3" s="8" t="s">
        <v>34</v>
      </c>
      <c r="F3" s="9" t="s">
        <v>35</v>
      </c>
      <c r="G3" s="9" t="s">
        <v>29</v>
      </c>
      <c r="H3" s="10" t="n">
        <v>1000</v>
      </c>
      <c r="I3" s="10" t="n">
        <v>1</v>
      </c>
      <c r="J3" s="11" t="s">
        <v>36</v>
      </c>
      <c r="K3" s="12" t="str">
        <f aca="false">IF(E3="","to do",IF(AND(F3&lt;&gt;"",G3&lt;&gt;"",H3&lt;&gt;""),"DONE","waiting for Claude"))</f>
        <v>DONE</v>
      </c>
      <c r="L3" s="13" t="s">
        <v>37</v>
      </c>
    </row>
    <row r="4" customFormat="false" ht="15" hidden="false" customHeight="false" outlineLevel="0" collapsed="false">
      <c r="A4" s="6" t="s">
        <v>38</v>
      </c>
      <c r="B4" s="6" t="s">
        <v>32</v>
      </c>
      <c r="C4" s="7" t="s">
        <v>33</v>
      </c>
      <c r="D4" s="7" t="s">
        <v>29</v>
      </c>
      <c r="E4" s="8"/>
      <c r="F4" s="9"/>
      <c r="G4" s="9"/>
      <c r="H4" s="10"/>
      <c r="I4" s="10"/>
      <c r="J4" s="11"/>
      <c r="K4" s="12" t="str">
        <f aca="false">IF(E4="","to do",IF(AND(F4&lt;&gt;"",G4&lt;&gt;"",H4&lt;&gt;""),"DONE","waiting for Claude"))</f>
        <v>to do</v>
      </c>
      <c r="L4" s="13" t="s">
        <v>39</v>
      </c>
    </row>
    <row r="5" customFormat="false" ht="15" hidden="false" customHeight="false" outlineLevel="0" collapsed="false">
      <c r="A5" s="6" t="s">
        <v>40</v>
      </c>
      <c r="B5" s="6" t="s">
        <v>41</v>
      </c>
      <c r="C5" s="7" t="s">
        <v>42</v>
      </c>
      <c r="D5" s="7" t="s">
        <v>43</v>
      </c>
      <c r="E5" s="8"/>
      <c r="F5" s="9"/>
      <c r="G5" s="9"/>
      <c r="H5" s="10"/>
      <c r="I5" s="10"/>
      <c r="J5" s="11"/>
      <c r="K5" s="12" t="str">
        <f aca="false">IF(E5="","to do",IF(AND(F5&lt;&gt;"",G5&lt;&gt;"",H5&lt;&gt;""),"DONE","waiting for Claude"))</f>
        <v>to do</v>
      </c>
      <c r="L5" s="13" t="s">
        <v>44</v>
      </c>
    </row>
    <row r="6" customFormat="false" ht="15" hidden="false" customHeight="false" outlineLevel="0" collapsed="false">
      <c r="A6" s="6" t="s">
        <v>45</v>
      </c>
      <c r="B6" s="6" t="s">
        <v>41</v>
      </c>
      <c r="C6" s="7" t="s">
        <v>46</v>
      </c>
      <c r="D6" s="7" t="s">
        <v>43</v>
      </c>
      <c r="E6" s="8"/>
      <c r="F6" s="9"/>
      <c r="G6" s="9"/>
      <c r="H6" s="10"/>
      <c r="I6" s="10"/>
      <c r="J6" s="11"/>
      <c r="K6" s="12" t="str">
        <f aca="false">IF(E6="","to do",IF(AND(F6&lt;&gt;"",G6&lt;&gt;"",H6&lt;&gt;""),"DONE","waiting for Claude"))</f>
        <v>to do</v>
      </c>
      <c r="L6" s="13" t="s">
        <v>47</v>
      </c>
    </row>
    <row r="7" customFormat="false" ht="23.85" hidden="false" customHeight="false" outlineLevel="0" collapsed="false">
      <c r="A7" s="6" t="s">
        <v>48</v>
      </c>
      <c r="B7" s="6" t="s">
        <v>49</v>
      </c>
      <c r="C7" s="7" t="s">
        <v>50</v>
      </c>
      <c r="D7" s="7" t="s">
        <v>51</v>
      </c>
      <c r="E7" s="8" t="s">
        <v>52</v>
      </c>
      <c r="F7" s="9" t="s">
        <v>53</v>
      </c>
      <c r="G7" s="9" t="s">
        <v>51</v>
      </c>
      <c r="H7" s="10" t="n">
        <v>35</v>
      </c>
      <c r="I7" s="10" t="n">
        <v>1.5</v>
      </c>
      <c r="J7" s="11" t="s">
        <v>54</v>
      </c>
      <c r="K7" s="12" t="str">
        <f aca="false">IF(E7="","to do",IF(AND(F7&lt;&gt;"",G7&lt;&gt;"",H7&lt;&gt;""),"DONE","waiting for Claude"))</f>
        <v>DONE</v>
      </c>
      <c r="L7" s="13" t="s">
        <v>55</v>
      </c>
    </row>
    <row r="8" customFormat="false" ht="15" hidden="false" customHeight="false" outlineLevel="0" collapsed="false">
      <c r="A8" s="6" t="s">
        <v>56</v>
      </c>
      <c r="B8" s="6" t="s">
        <v>49</v>
      </c>
      <c r="C8" s="7" t="s">
        <v>50</v>
      </c>
      <c r="D8" s="7" t="s">
        <v>51</v>
      </c>
      <c r="E8" s="8"/>
      <c r="F8" s="9"/>
      <c r="G8" s="9"/>
      <c r="H8" s="10"/>
      <c r="I8" s="10"/>
      <c r="J8" s="11"/>
      <c r="K8" s="12" t="str">
        <f aca="false">IF(E8="","to do",IF(AND(F8&lt;&gt;"",G8&lt;&gt;"",H8&lt;&gt;""),"DONE","waiting for Claude"))</f>
        <v>to do</v>
      </c>
      <c r="L8" s="13" t="s">
        <v>57</v>
      </c>
    </row>
    <row r="9" customFormat="false" ht="15" hidden="false" customHeight="false" outlineLevel="0" collapsed="false">
      <c r="A9" s="6" t="s">
        <v>58</v>
      </c>
      <c r="B9" s="6" t="s">
        <v>49</v>
      </c>
      <c r="C9" s="7" t="s">
        <v>50</v>
      </c>
      <c r="D9" s="7" t="s">
        <v>51</v>
      </c>
      <c r="E9" s="8"/>
      <c r="F9" s="9"/>
      <c r="G9" s="9"/>
      <c r="H9" s="10"/>
      <c r="I9" s="10"/>
      <c r="J9" s="11"/>
      <c r="K9" s="12" t="str">
        <f aca="false">IF(E9="","to do",IF(AND(F9&lt;&gt;"",G9&lt;&gt;"",H9&lt;&gt;""),"DONE","waiting for Claude"))</f>
        <v>to do</v>
      </c>
      <c r="L9" s="13" t="s">
        <v>59</v>
      </c>
    </row>
    <row r="10" customFormat="false" ht="15" hidden="false" customHeight="false" outlineLevel="0" collapsed="false">
      <c r="A10" s="6" t="s">
        <v>60</v>
      </c>
      <c r="B10" s="6" t="s">
        <v>49</v>
      </c>
      <c r="C10" s="7" t="s">
        <v>61</v>
      </c>
      <c r="D10" s="7" t="s">
        <v>51</v>
      </c>
      <c r="E10" s="8"/>
      <c r="F10" s="9"/>
      <c r="G10" s="9"/>
      <c r="H10" s="10"/>
      <c r="I10" s="10"/>
      <c r="J10" s="11"/>
      <c r="K10" s="12" t="str">
        <f aca="false">IF(E10="","to do",IF(AND(F10&lt;&gt;"",G10&lt;&gt;"",H10&lt;&gt;""),"DONE","waiting for Claude"))</f>
        <v>to do</v>
      </c>
      <c r="L10" s="13" t="s">
        <v>62</v>
      </c>
    </row>
    <row r="11" customFormat="false" ht="15" hidden="false" customHeight="false" outlineLevel="0" collapsed="false">
      <c r="A11" s="6" t="s">
        <v>63</v>
      </c>
      <c r="B11" s="6" t="s">
        <v>64</v>
      </c>
      <c r="C11" s="7" t="s">
        <v>65</v>
      </c>
      <c r="D11" s="7" t="s">
        <v>66</v>
      </c>
      <c r="E11" s="8"/>
      <c r="F11" s="9"/>
      <c r="G11" s="9"/>
      <c r="H11" s="10"/>
      <c r="I11" s="10"/>
      <c r="J11" s="11"/>
      <c r="K11" s="12" t="str">
        <f aca="false">IF(E11="","to do",IF(AND(F11&lt;&gt;"",G11&lt;&gt;"",H11&lt;&gt;""),"DONE","waiting for Claude"))</f>
        <v>to do</v>
      </c>
      <c r="L11" s="13" t="s">
        <v>67</v>
      </c>
    </row>
    <row r="12" customFormat="false" ht="15" hidden="false" customHeight="false" outlineLevel="0" collapsed="false">
      <c r="A12" s="6" t="s">
        <v>68</v>
      </c>
      <c r="B12" s="6" t="s">
        <v>69</v>
      </c>
      <c r="C12" s="7" t="s">
        <v>70</v>
      </c>
      <c r="D12" s="7" t="s">
        <v>51</v>
      </c>
      <c r="E12" s="8"/>
      <c r="F12" s="9"/>
      <c r="G12" s="9"/>
      <c r="H12" s="10"/>
      <c r="I12" s="10"/>
      <c r="J12" s="11"/>
      <c r="K12" s="12" t="str">
        <f aca="false">IF(E12="","to do",IF(AND(F12&lt;&gt;"",G12&lt;&gt;"",H12&lt;&gt;""),"DONE","waiting for Claude"))</f>
        <v>to do</v>
      </c>
      <c r="L12" s="13" t="s">
        <v>71</v>
      </c>
    </row>
    <row r="13" customFormat="false" ht="15" hidden="false" customHeight="false" outlineLevel="0" collapsed="false">
      <c r="A13" s="6" t="s">
        <v>72</v>
      </c>
      <c r="B13" s="6" t="s">
        <v>69</v>
      </c>
      <c r="C13" s="7" t="s">
        <v>70</v>
      </c>
      <c r="D13" s="7" t="s">
        <v>51</v>
      </c>
      <c r="E13" s="8"/>
      <c r="F13" s="9"/>
      <c r="G13" s="9"/>
      <c r="H13" s="10"/>
      <c r="I13" s="10"/>
      <c r="J13" s="11"/>
      <c r="K13" s="12" t="str">
        <f aca="false">IF(E13="","to do",IF(AND(F13&lt;&gt;"",G13&lt;&gt;"",H13&lt;&gt;""),"DONE","waiting for Claude"))</f>
        <v>to do</v>
      </c>
      <c r="L13" s="13" t="s">
        <v>73</v>
      </c>
    </row>
    <row r="14" customFormat="false" ht="15" hidden="false" customHeight="false" outlineLevel="0" collapsed="false">
      <c r="A14" s="6" t="s">
        <v>74</v>
      </c>
      <c r="B14" s="6" t="s">
        <v>75</v>
      </c>
      <c r="C14" s="7" t="s">
        <v>29</v>
      </c>
      <c r="D14" s="7" t="s">
        <v>29</v>
      </c>
      <c r="E14" s="8" t="s">
        <v>76</v>
      </c>
      <c r="F14" s="9" t="s">
        <v>77</v>
      </c>
      <c r="G14" s="9" t="s">
        <v>29</v>
      </c>
      <c r="H14" s="10" t="n">
        <v>250</v>
      </c>
      <c r="I14" s="10"/>
      <c r="J14" s="11"/>
      <c r="K14" s="12" t="str">
        <f aca="false">IF(COUNTIFS(Resistors!$A$2:$A$80,A14,Resistors!$C$2:$C$80,"&lt;&gt;")&gt;0,"DONE","add values")</f>
        <v>add values</v>
      </c>
      <c r="L14" s="13" t="s">
        <v>78</v>
      </c>
    </row>
    <row r="15" customFormat="false" ht="15" hidden="false" customHeight="false" outlineLevel="0" collapsed="false">
      <c r="A15" s="6" t="s">
        <v>79</v>
      </c>
      <c r="B15" s="6" t="s">
        <v>75</v>
      </c>
      <c r="C15" s="7" t="s">
        <v>29</v>
      </c>
      <c r="D15" s="7" t="s">
        <v>29</v>
      </c>
      <c r="E15" s="8" t="s">
        <v>76</v>
      </c>
      <c r="F15" s="9" t="s">
        <v>77</v>
      </c>
      <c r="G15" s="9" t="s">
        <v>29</v>
      </c>
      <c r="H15" s="10" t="n">
        <v>250</v>
      </c>
      <c r="I15" s="10"/>
      <c r="J15" s="11"/>
      <c r="K15" s="12" t="str">
        <f aca="false">IF(COUNTIFS(Resistors!$A$2:$A$80,A15,Resistors!$C$2:$C$80,"&lt;&gt;")&gt;0,"DONE","add values")</f>
        <v>add values</v>
      </c>
      <c r="L15" s="13" t="s">
        <v>80</v>
      </c>
    </row>
    <row r="16" customFormat="false" ht="15" hidden="false" customHeight="false" outlineLevel="0" collapsed="false">
      <c r="A16" s="6" t="s">
        <v>81</v>
      </c>
      <c r="B16" s="6" t="s">
        <v>82</v>
      </c>
      <c r="C16" s="7" t="s">
        <v>29</v>
      </c>
      <c r="D16" s="7" t="s">
        <v>29</v>
      </c>
      <c r="E16" s="8"/>
      <c r="F16" s="9"/>
      <c r="G16" s="9"/>
      <c r="H16" s="10"/>
      <c r="I16" s="10"/>
      <c r="J16" s="11"/>
      <c r="K16" s="12" t="str">
        <f aca="false">IF(E16="","to do",IF(AND(F16&lt;&gt;"",G16&lt;&gt;"",H16&lt;&gt;""),"DONE","waiting for Claude"))</f>
        <v>to do</v>
      </c>
      <c r="L16" s="13" t="s">
        <v>83</v>
      </c>
    </row>
    <row r="17" customFormat="false" ht="15" hidden="false" customHeight="false" outlineLevel="0" collapsed="false">
      <c r="A17" s="6" t="s">
        <v>84</v>
      </c>
      <c r="B17" s="6" t="s">
        <v>82</v>
      </c>
      <c r="C17" s="7" t="s">
        <v>29</v>
      </c>
      <c r="D17" s="7" t="s">
        <v>29</v>
      </c>
      <c r="E17" s="8"/>
      <c r="F17" s="9"/>
      <c r="G17" s="9"/>
      <c r="H17" s="10"/>
      <c r="I17" s="10"/>
      <c r="J17" s="11"/>
      <c r="K17" s="12" t="str">
        <f aca="false">IF(E17="","to do",IF(AND(F17&lt;&gt;"",G17&lt;&gt;"",H17&lt;&gt;""),"DONE","waiting for Claude"))</f>
        <v>to do</v>
      </c>
      <c r="L17" s="13" t="s">
        <v>85</v>
      </c>
    </row>
    <row r="18" customFormat="false" ht="15" hidden="false" customHeight="false" outlineLevel="0" collapsed="false">
      <c r="A18" s="6" t="s">
        <v>86</v>
      </c>
      <c r="B18" s="6" t="s">
        <v>87</v>
      </c>
      <c r="C18" s="7" t="s">
        <v>33</v>
      </c>
      <c r="D18" s="7" t="s">
        <v>29</v>
      </c>
      <c r="E18" s="8"/>
      <c r="F18" s="9"/>
      <c r="G18" s="9"/>
      <c r="H18" s="10"/>
      <c r="I18" s="10"/>
      <c r="J18" s="11"/>
      <c r="K18" s="12" t="str">
        <f aca="false">IF(E18="","to do",IF(AND(F18&lt;&gt;"",G18&lt;&gt;"",H18&lt;&gt;""),"DONE","waiting for Claude"))</f>
        <v>to do</v>
      </c>
      <c r="L18" s="13" t="s">
        <v>88</v>
      </c>
    </row>
    <row r="19" customFormat="false" ht="15" hidden="false" customHeight="false" outlineLevel="0" collapsed="false">
      <c r="A19" s="6" t="s">
        <v>89</v>
      </c>
      <c r="B19" s="6" t="s">
        <v>87</v>
      </c>
      <c r="C19" s="7" t="s">
        <v>33</v>
      </c>
      <c r="D19" s="7" t="s">
        <v>29</v>
      </c>
      <c r="E19" s="8"/>
      <c r="F19" s="9"/>
      <c r="G19" s="9"/>
      <c r="H19" s="10"/>
      <c r="I19" s="10"/>
      <c r="J19" s="11"/>
      <c r="K19" s="12" t="str">
        <f aca="false">IF(E19="","to do",IF(AND(F19&lt;&gt;"",G19&lt;&gt;"",H19&lt;&gt;""),"DONE","waiting for Claude"))</f>
        <v>to do</v>
      </c>
      <c r="L19" s="13" t="s">
        <v>90</v>
      </c>
    </row>
    <row r="20" customFormat="false" ht="15" hidden="false" customHeight="false" outlineLevel="0" collapsed="false">
      <c r="A20" s="6" t="s">
        <v>91</v>
      </c>
      <c r="B20" s="6" t="s">
        <v>87</v>
      </c>
      <c r="C20" s="7" t="s">
        <v>33</v>
      </c>
      <c r="D20" s="7" t="s">
        <v>29</v>
      </c>
      <c r="E20" s="8"/>
      <c r="F20" s="9"/>
      <c r="G20" s="9"/>
      <c r="H20" s="10"/>
      <c r="I20" s="10"/>
      <c r="J20" s="11"/>
      <c r="K20" s="12" t="str">
        <f aca="false">IF(E20="","to do",IF(AND(F20&lt;&gt;"",G20&lt;&gt;"",H20&lt;&gt;""),"DONE","waiting for Claude"))</f>
        <v>to do</v>
      </c>
      <c r="L20" s="13" t="s">
        <v>92</v>
      </c>
    </row>
    <row r="21" customFormat="false" ht="15" hidden="false" customHeight="false" outlineLevel="0" collapsed="false">
      <c r="A21" s="6" t="s">
        <v>93</v>
      </c>
      <c r="B21" s="6" t="s">
        <v>94</v>
      </c>
      <c r="C21" s="7" t="s">
        <v>95</v>
      </c>
      <c r="D21" s="7" t="s">
        <v>29</v>
      </c>
      <c r="E21" s="8"/>
      <c r="F21" s="9"/>
      <c r="G21" s="9"/>
      <c r="H21" s="10"/>
      <c r="I21" s="10"/>
      <c r="J21" s="11"/>
      <c r="K21" s="12" t="str">
        <f aca="false">IF(E21="","to do",IF(AND(F21&lt;&gt;"",G21&lt;&gt;"",H21&lt;&gt;""),"DONE","waiting for Claude"))</f>
        <v>to do</v>
      </c>
      <c r="L21" s="13" t="s">
        <v>96</v>
      </c>
    </row>
    <row r="22" customFormat="false" ht="23.85" hidden="false" customHeight="false" outlineLevel="0" collapsed="false">
      <c r="A22" s="6" t="s">
        <v>97</v>
      </c>
      <c r="B22" s="6" t="s">
        <v>94</v>
      </c>
      <c r="C22" s="7" t="s">
        <v>95</v>
      </c>
      <c r="D22" s="7" t="s">
        <v>29</v>
      </c>
      <c r="E22" s="8" t="s">
        <v>98</v>
      </c>
      <c r="F22" s="9" t="s">
        <v>99</v>
      </c>
      <c r="G22" s="9" t="s">
        <v>29</v>
      </c>
      <c r="H22" s="10" t="n">
        <v>25</v>
      </c>
      <c r="I22" s="10"/>
      <c r="J22" s="11" t="s">
        <v>100</v>
      </c>
      <c r="K22" s="12" t="str">
        <f aca="false">IF(E22="","to do",IF(AND(F22&lt;&gt;"",G22&lt;&gt;"",H22&lt;&gt;""),"DONE","waiting for Claude"))</f>
        <v>DONE</v>
      </c>
      <c r="L22" s="13" t="s">
        <v>101</v>
      </c>
    </row>
    <row r="23" customFormat="false" ht="15" hidden="false" customHeight="false" outlineLevel="0" collapsed="false">
      <c r="A23" s="6" t="s">
        <v>102</v>
      </c>
      <c r="B23" s="6" t="s">
        <v>94</v>
      </c>
      <c r="C23" s="7" t="s">
        <v>95</v>
      </c>
      <c r="D23" s="7" t="s">
        <v>29</v>
      </c>
      <c r="E23" s="8"/>
      <c r="F23" s="9"/>
      <c r="G23" s="9"/>
      <c r="H23" s="10"/>
      <c r="I23" s="10"/>
      <c r="J23" s="11"/>
      <c r="K23" s="12" t="str">
        <f aca="false">IF(E23="","to do",IF(AND(F23&lt;&gt;"",G23&lt;&gt;"",H23&lt;&gt;""),"DONE","waiting for Claude"))</f>
        <v>to do</v>
      </c>
      <c r="L23" s="13" t="s">
        <v>103</v>
      </c>
    </row>
    <row r="24" customFormat="false" ht="15" hidden="false" customHeight="false" outlineLevel="0" collapsed="false">
      <c r="A24" s="6" t="s">
        <v>104</v>
      </c>
      <c r="B24" s="6" t="s">
        <v>94</v>
      </c>
      <c r="C24" s="7" t="s">
        <v>95</v>
      </c>
      <c r="D24" s="7" t="s">
        <v>29</v>
      </c>
      <c r="E24" s="8"/>
      <c r="F24" s="9"/>
      <c r="G24" s="9"/>
      <c r="H24" s="10"/>
      <c r="I24" s="10"/>
      <c r="J24" s="11"/>
      <c r="K24" s="12" t="str">
        <f aca="false">IF(E24="","to do",IF(AND(F24&lt;&gt;"",G24&lt;&gt;"",H24&lt;&gt;""),"DONE","waiting for Claude"))</f>
        <v>to do</v>
      </c>
      <c r="L24" s="13" t="s">
        <v>105</v>
      </c>
    </row>
    <row r="25" customFormat="false" ht="15" hidden="false" customHeight="false" outlineLevel="0" collapsed="false">
      <c r="A25" s="6" t="s">
        <v>106</v>
      </c>
      <c r="B25" s="6" t="s">
        <v>94</v>
      </c>
      <c r="C25" s="7" t="s">
        <v>95</v>
      </c>
      <c r="D25" s="7" t="s">
        <v>29</v>
      </c>
      <c r="E25" s="8"/>
      <c r="F25" s="9"/>
      <c r="G25" s="9"/>
      <c r="H25" s="10"/>
      <c r="I25" s="10"/>
      <c r="J25" s="11"/>
      <c r="K25" s="12" t="str">
        <f aca="false">IF(E25="","to do",IF(AND(F25&lt;&gt;"",G25&lt;&gt;"",H25&lt;&gt;""),"DONE","waiting for Claude"))</f>
        <v>to do</v>
      </c>
      <c r="L25" s="13" t="s">
        <v>107</v>
      </c>
    </row>
    <row r="26" customFormat="false" ht="15" hidden="false" customHeight="false" outlineLevel="0" collapsed="false">
      <c r="A26" s="6" t="s">
        <v>108</v>
      </c>
      <c r="B26" s="6" t="s">
        <v>94</v>
      </c>
      <c r="C26" s="7" t="s">
        <v>95</v>
      </c>
      <c r="D26" s="7" t="s">
        <v>29</v>
      </c>
      <c r="E26" s="8"/>
      <c r="F26" s="9"/>
      <c r="G26" s="9"/>
      <c r="H26" s="10"/>
      <c r="I26" s="10"/>
      <c r="J26" s="11"/>
      <c r="K26" s="12" t="str">
        <f aca="false">IF(E26="","to do",IF(AND(F26&lt;&gt;"",G26&lt;&gt;"",H26&lt;&gt;""),"DONE","waiting for Claude"))</f>
        <v>to do</v>
      </c>
      <c r="L26" s="13" t="s">
        <v>109</v>
      </c>
    </row>
    <row r="27" customFormat="false" ht="15" hidden="false" customHeight="false" outlineLevel="0" collapsed="false">
      <c r="A27" s="6" t="s">
        <v>110</v>
      </c>
      <c r="B27" s="6" t="s">
        <v>94</v>
      </c>
      <c r="C27" s="7" t="s">
        <v>95</v>
      </c>
      <c r="D27" s="7" t="s">
        <v>29</v>
      </c>
      <c r="E27" s="8"/>
      <c r="F27" s="9"/>
      <c r="G27" s="9"/>
      <c r="H27" s="10"/>
      <c r="I27" s="10"/>
      <c r="J27" s="11"/>
      <c r="K27" s="12" t="str">
        <f aca="false">IF(E27="","to do",IF(AND(F27&lt;&gt;"",G27&lt;&gt;"",H27&lt;&gt;""),"DONE","waiting for Claude"))</f>
        <v>to do</v>
      </c>
      <c r="L27" s="13" t="s">
        <v>111</v>
      </c>
    </row>
    <row r="28" customFormat="false" ht="15" hidden="false" customHeight="false" outlineLevel="0" collapsed="false">
      <c r="A28" s="14"/>
      <c r="B28" s="14"/>
      <c r="C28" s="8"/>
      <c r="D28" s="8"/>
      <c r="E28" s="8"/>
      <c r="F28" s="9"/>
      <c r="G28" s="9"/>
      <c r="H28" s="10"/>
      <c r="I28" s="10"/>
      <c r="J28" s="11"/>
      <c r="K28" s="12" t="str">
        <f aca="false">IF(A28="","",IF(E28="","to do",IF(AND(F28&lt;&gt;"",G28&lt;&gt;"",H28&lt;&gt;""),"DONE","waiting for Claude")))</f>
        <v/>
      </c>
      <c r="L28" s="15"/>
    </row>
    <row r="29" customFormat="false" ht="15" hidden="false" customHeight="false" outlineLevel="0" collapsed="false">
      <c r="A29" s="14"/>
      <c r="B29" s="14"/>
      <c r="C29" s="8"/>
      <c r="D29" s="8"/>
      <c r="E29" s="8"/>
      <c r="F29" s="9"/>
      <c r="G29" s="9"/>
      <c r="H29" s="10"/>
      <c r="I29" s="10"/>
      <c r="J29" s="11"/>
      <c r="K29" s="12" t="str">
        <f aca="false">IF(A29="","",IF(E29="","to do",IF(AND(F29&lt;&gt;"",G29&lt;&gt;"",H29&lt;&gt;""),"DONE","waiting for Claude")))</f>
        <v/>
      </c>
      <c r="L29" s="15"/>
    </row>
    <row r="30" customFormat="false" ht="15" hidden="false" customHeight="false" outlineLevel="0" collapsed="false">
      <c r="A30" s="14"/>
      <c r="B30" s="14"/>
      <c r="C30" s="8"/>
      <c r="D30" s="8"/>
      <c r="E30" s="8"/>
      <c r="F30" s="9"/>
      <c r="G30" s="9"/>
      <c r="H30" s="10"/>
      <c r="I30" s="10"/>
      <c r="J30" s="11"/>
      <c r="K30" s="12" t="str">
        <f aca="false">IF(A30="","",IF(E30="","to do",IF(AND(F30&lt;&gt;"",G30&lt;&gt;"",H30&lt;&gt;""),"DONE","waiting for Claude")))</f>
        <v/>
      </c>
      <c r="L30" s="15"/>
    </row>
    <row r="31" customFormat="false" ht="15" hidden="false" customHeight="false" outlineLevel="0" collapsed="false">
      <c r="A31" s="14"/>
      <c r="B31" s="14"/>
      <c r="C31" s="8"/>
      <c r="D31" s="8"/>
      <c r="E31" s="8"/>
      <c r="F31" s="9"/>
      <c r="G31" s="9"/>
      <c r="H31" s="10"/>
      <c r="I31" s="10"/>
      <c r="J31" s="11"/>
      <c r="K31" s="12" t="str">
        <f aca="false">IF(A31="","",IF(E31="","to do",IF(AND(F31&lt;&gt;"",G31&lt;&gt;"",H31&lt;&gt;""),"DONE","waiting for Claude")))</f>
        <v/>
      </c>
      <c r="L31" s="15"/>
    </row>
    <row r="32" customFormat="false" ht="15" hidden="false" customHeight="false" outlineLevel="0" collapsed="false">
      <c r="A32" s="14"/>
      <c r="B32" s="14"/>
      <c r="C32" s="8"/>
      <c r="D32" s="8"/>
      <c r="E32" s="8"/>
      <c r="F32" s="9"/>
      <c r="G32" s="9"/>
      <c r="H32" s="10"/>
      <c r="I32" s="10"/>
      <c r="J32" s="11"/>
      <c r="K32" s="12" t="str">
        <f aca="false">IF(A32="","",IF(E32="","to do",IF(AND(F32&lt;&gt;"",G32&lt;&gt;"",H32&lt;&gt;""),"DONE","waiting for Claude")))</f>
        <v/>
      </c>
      <c r="L32" s="15"/>
    </row>
    <row r="33" customFormat="false" ht="15" hidden="false" customHeight="false" outlineLevel="0" collapsed="false">
      <c r="A33" s="14"/>
      <c r="B33" s="14"/>
      <c r="C33" s="8"/>
      <c r="D33" s="8"/>
      <c r="E33" s="8"/>
      <c r="F33" s="9"/>
      <c r="G33" s="9"/>
      <c r="H33" s="10"/>
      <c r="I33" s="10"/>
      <c r="J33" s="11"/>
      <c r="K33" s="12" t="str">
        <f aca="false">IF(A33="","",IF(E33="","to do",IF(AND(F33&lt;&gt;"",G33&lt;&gt;"",H33&lt;&gt;""),"DONE","waiting for Claude")))</f>
        <v/>
      </c>
      <c r="L33" s="15"/>
    </row>
    <row r="34" customFormat="false" ht="15" hidden="false" customHeight="false" outlineLevel="0" collapsed="false">
      <c r="A34" s="14"/>
      <c r="B34" s="14"/>
      <c r="C34" s="8"/>
      <c r="D34" s="8"/>
      <c r="E34" s="8"/>
      <c r="F34" s="9"/>
      <c r="G34" s="9"/>
      <c r="H34" s="10"/>
      <c r="I34" s="10"/>
      <c r="J34" s="11"/>
      <c r="K34" s="12" t="str">
        <f aca="false">IF(A34="","",IF(E34="","to do",IF(AND(F34&lt;&gt;"",G34&lt;&gt;"",H34&lt;&gt;""),"DONE","waiting for Claude")))</f>
        <v/>
      </c>
      <c r="L34" s="15"/>
    </row>
    <row r="35" customFormat="false" ht="15" hidden="false" customHeight="false" outlineLevel="0" collapsed="false">
      <c r="A35" s="14"/>
      <c r="B35" s="14"/>
      <c r="C35" s="8"/>
      <c r="D35" s="8"/>
      <c r="E35" s="8"/>
      <c r="F35" s="9"/>
      <c r="G35" s="9"/>
      <c r="H35" s="10"/>
      <c r="I35" s="10"/>
      <c r="J35" s="11"/>
      <c r="K35" s="12" t="str">
        <f aca="false">IF(A35="","",IF(E35="","to do",IF(AND(F35&lt;&gt;"",G35&lt;&gt;"",H35&lt;&gt;""),"DONE","waiting for Claude")))</f>
        <v/>
      </c>
      <c r="L35" s="15"/>
    </row>
    <row r="36" customFormat="false" ht="15" hidden="false" customHeight="false" outlineLevel="0" collapsed="false">
      <c r="A36" s="14"/>
      <c r="B36" s="14"/>
      <c r="C36" s="8"/>
      <c r="D36" s="8"/>
      <c r="E36" s="8"/>
      <c r="F36" s="9"/>
      <c r="G36" s="9"/>
      <c r="H36" s="10"/>
      <c r="I36" s="10"/>
      <c r="J36" s="11"/>
      <c r="K36" s="12" t="str">
        <f aca="false">IF(A36="","",IF(E36="","to do",IF(AND(F36&lt;&gt;"",G36&lt;&gt;"",H36&lt;&gt;""),"DONE","waiting for Claude")))</f>
        <v/>
      </c>
      <c r="L36" s="15"/>
    </row>
    <row r="37" customFormat="false" ht="15" hidden="false" customHeight="false" outlineLevel="0" collapsed="false">
      <c r="A37" s="14"/>
      <c r="B37" s="14"/>
      <c r="C37" s="8"/>
      <c r="D37" s="8"/>
      <c r="E37" s="8"/>
      <c r="F37" s="9"/>
      <c r="G37" s="9"/>
      <c r="H37" s="10"/>
      <c r="I37" s="10"/>
      <c r="J37" s="11"/>
      <c r="K37" s="12" t="str">
        <f aca="false">IF(A37="","",IF(E37="","to do",IF(AND(F37&lt;&gt;"",G37&lt;&gt;"",H37&lt;&gt;""),"DONE","waiting for Claude")))</f>
        <v/>
      </c>
      <c r="L37" s="15"/>
    </row>
    <row r="38" customFormat="false" ht="15" hidden="false" customHeight="false" outlineLevel="0" collapsed="false">
      <c r="A38" s="14"/>
      <c r="B38" s="14"/>
      <c r="C38" s="8"/>
      <c r="D38" s="8"/>
      <c r="E38" s="8"/>
      <c r="F38" s="9"/>
      <c r="G38" s="9"/>
      <c r="H38" s="10"/>
      <c r="I38" s="10"/>
      <c r="J38" s="11"/>
      <c r="K38" s="12" t="str">
        <f aca="false">IF(A38="","",IF(E38="","to do",IF(AND(F38&lt;&gt;"",G38&lt;&gt;"",H38&lt;&gt;""),"DONE","waiting for Claude")))</f>
        <v/>
      </c>
      <c r="L38" s="15"/>
    </row>
    <row r="39" customFormat="false" ht="15" hidden="false" customHeight="false" outlineLevel="0" collapsed="false">
      <c r="A39" s="14"/>
      <c r="B39" s="14"/>
      <c r="C39" s="8"/>
      <c r="D39" s="8"/>
      <c r="E39" s="8"/>
      <c r="F39" s="9"/>
      <c r="G39" s="9"/>
      <c r="H39" s="10"/>
      <c r="I39" s="10"/>
      <c r="J39" s="11"/>
      <c r="K39" s="12" t="str">
        <f aca="false">IF(A39="","",IF(E39="","to do",IF(AND(F39&lt;&gt;"",G39&lt;&gt;"",H39&lt;&gt;""),"DONE","waiting for Claude")))</f>
        <v/>
      </c>
      <c r="L39" s="15"/>
    </row>
    <row r="40" customFormat="false" ht="15" hidden="false" customHeight="false" outlineLevel="0" collapsed="false">
      <c r="A40" s="14"/>
      <c r="B40" s="14"/>
      <c r="C40" s="8"/>
      <c r="D40" s="8"/>
      <c r="E40" s="8"/>
      <c r="F40" s="9"/>
      <c r="G40" s="9"/>
      <c r="H40" s="10"/>
      <c r="I40" s="10"/>
      <c r="J40" s="11"/>
      <c r="K40" s="12" t="str">
        <f aca="false">IF(A40="","",IF(E40="","to do",IF(AND(F40&lt;&gt;"",G40&lt;&gt;"",H40&lt;&gt;""),"DONE","waiting for Claude")))</f>
        <v/>
      </c>
      <c r="L40" s="15"/>
    </row>
    <row r="41" customFormat="false" ht="15" hidden="false" customHeight="false" outlineLevel="0" collapsed="false">
      <c r="A41" s="14"/>
      <c r="B41" s="14"/>
      <c r="C41" s="8"/>
      <c r="D41" s="8"/>
      <c r="E41" s="8"/>
      <c r="F41" s="9"/>
      <c r="G41" s="9"/>
      <c r="H41" s="10"/>
      <c r="I41" s="10"/>
      <c r="J41" s="11"/>
      <c r="K41" s="12" t="str">
        <f aca="false">IF(A41="","",IF(E41="","to do",IF(AND(F41&lt;&gt;"",G41&lt;&gt;"",H41&lt;&gt;""),"DONE","waiting for Claude")))</f>
        <v/>
      </c>
      <c r="L41" s="15"/>
    </row>
  </sheetData>
  <conditionalFormatting sqref="K2:K41">
    <cfRule type="cellIs" priority="2" operator="equal" aboveAverage="0" equalAverage="0" bottom="0" percent="0" rank="0" text="" dxfId="0">
      <formula>"DONE"</formula>
    </cfRule>
    <cfRule type="cellIs" priority="3" operator="equal" aboveAverage="0" equalAverage="0" bottom="0" percent="0" rank="0" text="" dxfId="1">
      <formula>"waiting for Claude"</formula>
    </cfRule>
    <cfRule type="expression" priority="4" aboveAverage="0" equalAverage="0" bottom="0" percent="0" rank="0" text="" dxfId="2">
      <formula>OR(K2="to do",K2="add values")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2"/>
  </cols>
  <sheetData>
    <row r="1" customFormat="false" ht="15" hidden="false" customHeight="false" outlineLevel="0" collapsed="false">
      <c r="A1" s="16" t="s">
        <v>112</v>
      </c>
      <c r="B1" s="16" t="s">
        <v>113</v>
      </c>
      <c r="C1" s="16" t="s">
        <v>19</v>
      </c>
      <c r="D1" s="16" t="s">
        <v>25</v>
      </c>
      <c r="F1" s="17" t="s">
        <v>114</v>
      </c>
    </row>
    <row r="2" customFormat="false" ht="15" hidden="false" customHeight="false" outlineLevel="0" collapsed="false">
      <c r="A2" s="18" t="s">
        <v>74</v>
      </c>
      <c r="B2" s="18" t="s">
        <v>115</v>
      </c>
      <c r="C2" s="19"/>
      <c r="D2" s="20" t="str">
        <f aca="false">IF(B2="","",IF(C2&lt;&gt;"","DONE","to do"))</f>
        <v>to do</v>
      </c>
    </row>
    <row r="3" customFormat="false" ht="15" hidden="false" customHeight="false" outlineLevel="0" collapsed="false">
      <c r="A3" s="18" t="s">
        <v>74</v>
      </c>
      <c r="B3" s="18" t="s">
        <v>116</v>
      </c>
      <c r="C3" s="19"/>
      <c r="D3" s="20" t="str">
        <f aca="false">IF(B3="","",IF(C3&lt;&gt;"","DONE","to do"))</f>
        <v>to do</v>
      </c>
    </row>
    <row r="4" customFormat="false" ht="15" hidden="false" customHeight="false" outlineLevel="0" collapsed="false">
      <c r="A4" s="18" t="s">
        <v>74</v>
      </c>
      <c r="B4" s="18" t="s">
        <v>117</v>
      </c>
      <c r="C4" s="19"/>
      <c r="D4" s="20" t="str">
        <f aca="false">IF(B4="","",IF(C4&lt;&gt;"","DONE","to do"))</f>
        <v>to do</v>
      </c>
    </row>
    <row r="5" customFormat="false" ht="15" hidden="false" customHeight="false" outlineLevel="0" collapsed="false">
      <c r="A5" s="18" t="s">
        <v>74</v>
      </c>
      <c r="B5" s="18" t="s">
        <v>118</v>
      </c>
      <c r="C5" s="19"/>
      <c r="D5" s="20" t="str">
        <f aca="false">IF(B5="","",IF(C5&lt;&gt;"","DONE","to do"))</f>
        <v>to do</v>
      </c>
    </row>
    <row r="6" customFormat="false" ht="15" hidden="false" customHeight="false" outlineLevel="0" collapsed="false">
      <c r="A6" s="18" t="s">
        <v>74</v>
      </c>
      <c r="B6" s="18" t="s">
        <v>119</v>
      </c>
      <c r="C6" s="19"/>
      <c r="D6" s="20" t="str">
        <f aca="false">IF(B6="","",IF(C6&lt;&gt;"","DONE","to do"))</f>
        <v>to do</v>
      </c>
    </row>
    <row r="7" customFormat="false" ht="15" hidden="false" customHeight="false" outlineLevel="0" collapsed="false">
      <c r="A7" s="18" t="s">
        <v>74</v>
      </c>
      <c r="B7" s="18" t="s">
        <v>120</v>
      </c>
      <c r="C7" s="19"/>
      <c r="D7" s="20" t="str">
        <f aca="false">IF(B7="","",IF(C7&lt;&gt;"","DONE","to do"))</f>
        <v>to do</v>
      </c>
    </row>
    <row r="8" customFormat="false" ht="15" hidden="false" customHeight="false" outlineLevel="0" collapsed="false">
      <c r="A8" s="18" t="s">
        <v>74</v>
      </c>
      <c r="B8" s="18" t="s">
        <v>121</v>
      </c>
      <c r="C8" s="19"/>
      <c r="D8" s="20" t="str">
        <f aca="false">IF(B8="","",IF(C8&lt;&gt;"","DONE","to do"))</f>
        <v>to do</v>
      </c>
    </row>
    <row r="9" customFormat="false" ht="15" hidden="false" customHeight="false" outlineLevel="0" collapsed="false">
      <c r="A9" s="18" t="s">
        <v>79</v>
      </c>
      <c r="B9" s="18" t="s">
        <v>122</v>
      </c>
      <c r="C9" s="19"/>
      <c r="D9" s="20" t="str">
        <f aca="false">IF(B9="","",IF(C9&lt;&gt;"","DONE","to do"))</f>
        <v>to do</v>
      </c>
    </row>
    <row r="10" customFormat="false" ht="15" hidden="false" customHeight="false" outlineLevel="0" collapsed="false">
      <c r="A10" s="19"/>
      <c r="B10" s="19"/>
      <c r="C10" s="19"/>
      <c r="D10" s="20" t="str">
        <f aca="false">IF(B10="","",IF(C10&lt;&gt;"","DONE","to do"))</f>
        <v/>
      </c>
    </row>
    <row r="11" customFormat="false" ht="15" hidden="false" customHeight="false" outlineLevel="0" collapsed="false">
      <c r="A11" s="19"/>
      <c r="B11" s="19"/>
      <c r="C11" s="19"/>
      <c r="D11" s="20" t="str">
        <f aca="false">IF(B11="","",IF(C11&lt;&gt;"","DONE","to do"))</f>
        <v/>
      </c>
    </row>
    <row r="12" customFormat="false" ht="15" hidden="false" customHeight="false" outlineLevel="0" collapsed="false">
      <c r="A12" s="19"/>
      <c r="B12" s="19"/>
      <c r="C12" s="19"/>
      <c r="D12" s="20" t="str">
        <f aca="false">IF(B12="","",IF(C12&lt;&gt;"","DONE","to do"))</f>
        <v/>
      </c>
    </row>
    <row r="13" customFormat="false" ht="15" hidden="false" customHeight="false" outlineLevel="0" collapsed="false">
      <c r="A13" s="19"/>
      <c r="B13" s="19"/>
      <c r="C13" s="19"/>
      <c r="D13" s="20" t="str">
        <f aca="false">IF(B13="","",IF(C13&lt;&gt;"","DONE","to do"))</f>
        <v/>
      </c>
    </row>
    <row r="14" customFormat="false" ht="15" hidden="false" customHeight="false" outlineLevel="0" collapsed="false">
      <c r="A14" s="19"/>
      <c r="B14" s="19"/>
      <c r="C14" s="19"/>
      <c r="D14" s="20" t="str">
        <f aca="false">IF(B14="","",IF(C14&lt;&gt;"","DONE","to do"))</f>
        <v/>
      </c>
    </row>
    <row r="15" customFormat="false" ht="15" hidden="false" customHeight="false" outlineLevel="0" collapsed="false">
      <c r="A15" s="19"/>
      <c r="B15" s="19"/>
      <c r="C15" s="19"/>
      <c r="D15" s="20" t="str">
        <f aca="false">IF(B15="","",IF(C15&lt;&gt;"","DONE","to do"))</f>
        <v/>
      </c>
    </row>
    <row r="16" customFormat="false" ht="15" hidden="false" customHeight="false" outlineLevel="0" collapsed="false">
      <c r="A16" s="19"/>
      <c r="B16" s="19"/>
      <c r="C16" s="19"/>
      <c r="D16" s="20" t="str">
        <f aca="false">IF(B16="","",IF(C16&lt;&gt;"","DONE","to do"))</f>
        <v/>
      </c>
    </row>
    <row r="17" customFormat="false" ht="15" hidden="false" customHeight="false" outlineLevel="0" collapsed="false">
      <c r="A17" s="19"/>
      <c r="B17" s="19"/>
      <c r="C17" s="19"/>
      <c r="D17" s="20" t="str">
        <f aca="false">IF(B17="","",IF(C17&lt;&gt;"","DONE","to do"))</f>
        <v/>
      </c>
    </row>
    <row r="18" customFormat="false" ht="15" hidden="false" customHeight="false" outlineLevel="0" collapsed="false">
      <c r="A18" s="19"/>
      <c r="B18" s="19"/>
      <c r="C18" s="19"/>
      <c r="D18" s="20" t="str">
        <f aca="false">IF(B18="","",IF(C18&lt;&gt;"","DONE","to do"))</f>
        <v/>
      </c>
    </row>
    <row r="19" customFormat="false" ht="15" hidden="false" customHeight="false" outlineLevel="0" collapsed="false">
      <c r="A19" s="19"/>
      <c r="B19" s="19"/>
      <c r="C19" s="19"/>
      <c r="D19" s="20" t="str">
        <f aca="false">IF(B19="","",IF(C19&lt;&gt;"","DONE","to do"))</f>
        <v/>
      </c>
    </row>
    <row r="20" customFormat="false" ht="15" hidden="false" customHeight="false" outlineLevel="0" collapsed="false">
      <c r="A20" s="19"/>
      <c r="B20" s="19"/>
      <c r="C20" s="19"/>
      <c r="D20" s="20" t="str">
        <f aca="false">IF(B20="","",IF(C20&lt;&gt;"","DONE","to do"))</f>
        <v/>
      </c>
    </row>
    <row r="21" customFormat="false" ht="15" hidden="false" customHeight="false" outlineLevel="0" collapsed="false">
      <c r="A21" s="19"/>
      <c r="B21" s="19"/>
      <c r="C21" s="19"/>
      <c r="D21" s="20" t="str">
        <f aca="false">IF(B21="","",IF(C21&lt;&gt;"","DONE","to do"))</f>
        <v/>
      </c>
    </row>
    <row r="22" customFormat="false" ht="15" hidden="false" customHeight="false" outlineLevel="0" collapsed="false">
      <c r="A22" s="19"/>
      <c r="B22" s="19"/>
      <c r="C22" s="19"/>
      <c r="D22" s="20" t="str">
        <f aca="false">IF(B22="","",IF(C22&lt;&gt;"","DONE","to do"))</f>
        <v/>
      </c>
    </row>
    <row r="23" customFormat="false" ht="15" hidden="false" customHeight="false" outlineLevel="0" collapsed="false">
      <c r="A23" s="19"/>
      <c r="B23" s="19"/>
      <c r="C23" s="19"/>
      <c r="D23" s="20" t="str">
        <f aca="false">IF(B23="","",IF(C23&lt;&gt;"","DONE","to do"))</f>
        <v/>
      </c>
    </row>
    <row r="24" customFormat="false" ht="15" hidden="false" customHeight="false" outlineLevel="0" collapsed="false">
      <c r="A24" s="19"/>
      <c r="B24" s="19"/>
      <c r="C24" s="19"/>
      <c r="D24" s="20" t="str">
        <f aca="false">IF(B24="","",IF(C24&lt;&gt;"","DONE","to do"))</f>
        <v/>
      </c>
    </row>
    <row r="25" customFormat="false" ht="15" hidden="false" customHeight="false" outlineLevel="0" collapsed="false">
      <c r="A25" s="19"/>
      <c r="B25" s="19"/>
      <c r="C25" s="19"/>
      <c r="D25" s="20" t="str">
        <f aca="false">IF(B25="","",IF(C25&lt;&gt;"","DONE","to do"))</f>
        <v/>
      </c>
    </row>
    <row r="26" customFormat="false" ht="15" hidden="false" customHeight="false" outlineLevel="0" collapsed="false">
      <c r="A26" s="19"/>
      <c r="B26" s="19"/>
      <c r="C26" s="19"/>
      <c r="D26" s="20" t="str">
        <f aca="false">IF(B26="","",IF(C26&lt;&gt;"","DONE","to do"))</f>
        <v/>
      </c>
    </row>
    <row r="27" customFormat="false" ht="15" hidden="false" customHeight="false" outlineLevel="0" collapsed="false">
      <c r="A27" s="19"/>
      <c r="B27" s="19"/>
      <c r="C27" s="19"/>
      <c r="D27" s="20" t="str">
        <f aca="false">IF(B27="","",IF(C27&lt;&gt;"","DONE","to do"))</f>
        <v/>
      </c>
    </row>
    <row r="28" customFormat="false" ht="15" hidden="false" customHeight="false" outlineLevel="0" collapsed="false">
      <c r="A28" s="19"/>
      <c r="B28" s="19"/>
      <c r="C28" s="19"/>
      <c r="D28" s="20" t="str">
        <f aca="false">IF(B28="","",IF(C28&lt;&gt;"","DONE","to do"))</f>
        <v/>
      </c>
    </row>
    <row r="29" customFormat="false" ht="15" hidden="false" customHeight="false" outlineLevel="0" collapsed="false">
      <c r="A29" s="19"/>
      <c r="B29" s="19"/>
      <c r="C29" s="19"/>
      <c r="D29" s="20" t="str">
        <f aca="false">IF(B29="","",IF(C29&lt;&gt;"","DONE","to do"))</f>
        <v/>
      </c>
    </row>
    <row r="30" customFormat="false" ht="15" hidden="false" customHeight="false" outlineLevel="0" collapsed="false">
      <c r="A30" s="19"/>
      <c r="B30" s="19"/>
      <c r="C30" s="19"/>
      <c r="D30" s="20" t="str">
        <f aca="false">IF(B30="","",IF(C30&lt;&gt;"","DONE","to do"))</f>
        <v/>
      </c>
    </row>
    <row r="31" customFormat="false" ht="15" hidden="false" customHeight="false" outlineLevel="0" collapsed="false">
      <c r="A31" s="19"/>
      <c r="B31" s="19"/>
      <c r="C31" s="19"/>
      <c r="D31" s="20" t="str">
        <f aca="false">IF(B31="","",IF(C31&lt;&gt;"","DONE","to do"))</f>
        <v/>
      </c>
    </row>
    <row r="32" customFormat="false" ht="15" hidden="false" customHeight="false" outlineLevel="0" collapsed="false">
      <c r="A32" s="19"/>
      <c r="B32" s="19"/>
      <c r="C32" s="19"/>
      <c r="D32" s="20" t="str">
        <f aca="false">IF(B32="","",IF(C32&lt;&gt;"","DONE","to do"))</f>
        <v/>
      </c>
    </row>
    <row r="33" customFormat="false" ht="15" hidden="false" customHeight="false" outlineLevel="0" collapsed="false">
      <c r="A33" s="19"/>
      <c r="B33" s="19"/>
      <c r="C33" s="19"/>
      <c r="D33" s="20" t="str">
        <f aca="false">IF(B33="","",IF(C33&lt;&gt;"","DONE","to do"))</f>
        <v/>
      </c>
    </row>
    <row r="34" customFormat="false" ht="15" hidden="false" customHeight="false" outlineLevel="0" collapsed="false">
      <c r="A34" s="19"/>
      <c r="B34" s="19"/>
      <c r="C34" s="19"/>
      <c r="D34" s="20" t="str">
        <f aca="false">IF(B34="","",IF(C34&lt;&gt;"","DONE","to do"))</f>
        <v/>
      </c>
    </row>
    <row r="35" customFormat="false" ht="15" hidden="false" customHeight="false" outlineLevel="0" collapsed="false">
      <c r="A35" s="19"/>
      <c r="B35" s="19"/>
      <c r="C35" s="19"/>
      <c r="D35" s="20" t="str">
        <f aca="false">IF(B35="","",IF(C35&lt;&gt;"","DONE","to do"))</f>
        <v/>
      </c>
    </row>
    <row r="36" customFormat="false" ht="15" hidden="false" customHeight="false" outlineLevel="0" collapsed="false">
      <c r="A36" s="19"/>
      <c r="B36" s="19"/>
      <c r="C36" s="19"/>
      <c r="D36" s="20" t="str">
        <f aca="false">IF(B36="","",IF(C36&lt;&gt;"","DONE","to do"))</f>
        <v/>
      </c>
    </row>
    <row r="37" customFormat="false" ht="15" hidden="false" customHeight="false" outlineLevel="0" collapsed="false">
      <c r="A37" s="19"/>
      <c r="B37" s="19"/>
      <c r="C37" s="19"/>
      <c r="D37" s="20" t="str">
        <f aca="false">IF(B37="","",IF(C37&lt;&gt;"","DONE","to do"))</f>
        <v/>
      </c>
    </row>
    <row r="38" customFormat="false" ht="15" hidden="false" customHeight="false" outlineLevel="0" collapsed="false">
      <c r="A38" s="19"/>
      <c r="B38" s="19"/>
      <c r="C38" s="19"/>
      <c r="D38" s="20" t="str">
        <f aca="false">IF(B38="","",IF(C38&lt;&gt;"","DONE","to do"))</f>
        <v/>
      </c>
    </row>
    <row r="39" customFormat="false" ht="15" hidden="false" customHeight="false" outlineLevel="0" collapsed="false">
      <c r="A39" s="19"/>
      <c r="B39" s="19"/>
      <c r="C39" s="19"/>
      <c r="D39" s="20" t="str">
        <f aca="false">IF(B39="","",IF(C39&lt;&gt;"","DONE","to do"))</f>
        <v/>
      </c>
    </row>
    <row r="40" customFormat="false" ht="15" hidden="false" customHeight="false" outlineLevel="0" collapsed="false">
      <c r="A40" s="19"/>
      <c r="B40" s="19"/>
      <c r="C40" s="19"/>
      <c r="D40" s="20" t="str">
        <f aca="false">IF(B40="","",IF(C40&lt;&gt;"","DONE","to do"))</f>
        <v/>
      </c>
    </row>
    <row r="41" customFormat="false" ht="15" hidden="false" customHeight="false" outlineLevel="0" collapsed="false">
      <c r="A41" s="19"/>
      <c r="B41" s="19"/>
      <c r="C41" s="19"/>
      <c r="D41" s="20" t="str">
        <f aca="false">IF(B41="","",IF(C41&lt;&gt;"","DONE","to do"))</f>
        <v/>
      </c>
    </row>
    <row r="42" customFormat="false" ht="15" hidden="false" customHeight="false" outlineLevel="0" collapsed="false">
      <c r="A42" s="19"/>
      <c r="B42" s="19"/>
      <c r="C42" s="19"/>
      <c r="D42" s="20" t="str">
        <f aca="false">IF(B42="","",IF(C42&lt;&gt;"","DONE","to do"))</f>
        <v/>
      </c>
    </row>
    <row r="43" customFormat="false" ht="15" hidden="false" customHeight="false" outlineLevel="0" collapsed="false">
      <c r="A43" s="19"/>
      <c r="B43" s="19"/>
      <c r="C43" s="19"/>
      <c r="D43" s="20" t="str">
        <f aca="false">IF(B43="","",IF(C43&lt;&gt;"","DONE","to do"))</f>
        <v/>
      </c>
    </row>
    <row r="44" customFormat="false" ht="15" hidden="false" customHeight="false" outlineLevel="0" collapsed="false">
      <c r="A44" s="19"/>
      <c r="B44" s="19"/>
      <c r="C44" s="19"/>
      <c r="D44" s="20" t="str">
        <f aca="false">IF(B44="","",IF(C44&lt;&gt;"","DONE","to do"))</f>
        <v/>
      </c>
    </row>
    <row r="45" customFormat="false" ht="15" hidden="false" customHeight="false" outlineLevel="0" collapsed="false">
      <c r="A45" s="19"/>
      <c r="B45" s="19"/>
      <c r="C45" s="19"/>
      <c r="D45" s="20" t="str">
        <f aca="false">IF(B45="","",IF(C45&lt;&gt;"","DONE","to do"))</f>
        <v/>
      </c>
    </row>
    <row r="46" customFormat="false" ht="15" hidden="false" customHeight="false" outlineLevel="0" collapsed="false">
      <c r="A46" s="19"/>
      <c r="B46" s="19"/>
      <c r="C46" s="19"/>
      <c r="D46" s="20" t="str">
        <f aca="false">IF(B46="","",IF(C46&lt;&gt;"","DONE","to do"))</f>
        <v/>
      </c>
    </row>
    <row r="47" customFormat="false" ht="15" hidden="false" customHeight="false" outlineLevel="0" collapsed="false">
      <c r="A47" s="19"/>
      <c r="B47" s="19"/>
      <c r="C47" s="19"/>
      <c r="D47" s="20" t="str">
        <f aca="false">IF(B47="","",IF(C47&lt;&gt;"","DONE","to do"))</f>
        <v/>
      </c>
    </row>
    <row r="48" customFormat="false" ht="15" hidden="false" customHeight="false" outlineLevel="0" collapsed="false">
      <c r="A48" s="19"/>
      <c r="B48" s="19"/>
      <c r="C48" s="19"/>
      <c r="D48" s="20" t="str">
        <f aca="false">IF(B48="","",IF(C48&lt;&gt;"","DONE","to do"))</f>
        <v/>
      </c>
    </row>
    <row r="49" customFormat="false" ht="15" hidden="false" customHeight="false" outlineLevel="0" collapsed="false">
      <c r="A49" s="19"/>
      <c r="B49" s="19"/>
      <c r="C49" s="19"/>
      <c r="D49" s="20" t="str">
        <f aca="false">IF(B49="","",IF(C49&lt;&gt;"","DONE","to do"))</f>
        <v/>
      </c>
    </row>
    <row r="50" customFormat="false" ht="15" hidden="false" customHeight="false" outlineLevel="0" collapsed="false">
      <c r="A50" s="19"/>
      <c r="B50" s="19"/>
      <c r="C50" s="19"/>
      <c r="D50" s="20" t="str">
        <f aca="false">IF(B50="","",IF(C50&lt;&gt;"","DONE","to do"))</f>
        <v/>
      </c>
    </row>
    <row r="51" customFormat="false" ht="15" hidden="false" customHeight="false" outlineLevel="0" collapsed="false">
      <c r="A51" s="19"/>
      <c r="B51" s="19"/>
      <c r="C51" s="19"/>
      <c r="D51" s="20" t="str">
        <f aca="false">IF(B51="","",IF(C51&lt;&gt;"","DONE","to do"))</f>
        <v/>
      </c>
    </row>
    <row r="52" customFormat="false" ht="15" hidden="false" customHeight="false" outlineLevel="0" collapsed="false">
      <c r="A52" s="19"/>
      <c r="B52" s="19"/>
      <c r="C52" s="19"/>
      <c r="D52" s="20" t="str">
        <f aca="false">IF(B52="","",IF(C52&lt;&gt;"","DONE","to do"))</f>
        <v/>
      </c>
    </row>
    <row r="53" customFormat="false" ht="15" hidden="false" customHeight="false" outlineLevel="0" collapsed="false">
      <c r="A53" s="19"/>
      <c r="B53" s="19"/>
      <c r="C53" s="19"/>
      <c r="D53" s="20" t="str">
        <f aca="false">IF(B53="","",IF(C53&lt;&gt;"","DONE","to do"))</f>
        <v/>
      </c>
    </row>
    <row r="54" customFormat="false" ht="15" hidden="false" customHeight="false" outlineLevel="0" collapsed="false">
      <c r="A54" s="19"/>
      <c r="B54" s="19"/>
      <c r="C54" s="19"/>
      <c r="D54" s="20" t="str">
        <f aca="false">IF(B54="","",IF(C54&lt;&gt;"","DONE","to do"))</f>
        <v/>
      </c>
    </row>
    <row r="55" customFormat="false" ht="15" hidden="false" customHeight="false" outlineLevel="0" collapsed="false">
      <c r="A55" s="19"/>
      <c r="B55" s="19"/>
      <c r="C55" s="19"/>
      <c r="D55" s="20" t="str">
        <f aca="false">IF(B55="","",IF(C55&lt;&gt;"","DONE","to do"))</f>
        <v/>
      </c>
    </row>
    <row r="56" customFormat="false" ht="15" hidden="false" customHeight="false" outlineLevel="0" collapsed="false">
      <c r="A56" s="19"/>
      <c r="B56" s="19"/>
      <c r="C56" s="19"/>
      <c r="D56" s="20" t="str">
        <f aca="false">IF(B56="","",IF(C56&lt;&gt;"","DONE","to do"))</f>
        <v/>
      </c>
    </row>
    <row r="57" customFormat="false" ht="15" hidden="false" customHeight="false" outlineLevel="0" collapsed="false">
      <c r="A57" s="19"/>
      <c r="B57" s="19"/>
      <c r="C57" s="19"/>
      <c r="D57" s="20" t="str">
        <f aca="false">IF(B57="","",IF(C57&lt;&gt;"","DONE","to do"))</f>
        <v/>
      </c>
    </row>
    <row r="58" customFormat="false" ht="15" hidden="false" customHeight="false" outlineLevel="0" collapsed="false">
      <c r="A58" s="19"/>
      <c r="B58" s="19"/>
      <c r="C58" s="19"/>
      <c r="D58" s="20" t="str">
        <f aca="false">IF(B58="","",IF(C58&lt;&gt;"","DONE","to do"))</f>
        <v/>
      </c>
    </row>
    <row r="59" customFormat="false" ht="15" hidden="false" customHeight="false" outlineLevel="0" collapsed="false">
      <c r="A59" s="19"/>
      <c r="B59" s="19"/>
      <c r="C59" s="19"/>
      <c r="D59" s="20" t="str">
        <f aca="false">IF(B59="","",IF(C59&lt;&gt;"","DONE","to do"))</f>
        <v/>
      </c>
    </row>
    <row r="60" customFormat="false" ht="15" hidden="false" customHeight="false" outlineLevel="0" collapsed="false">
      <c r="A60" s="19"/>
      <c r="B60" s="19"/>
      <c r="C60" s="19"/>
      <c r="D60" s="20" t="str">
        <f aca="false">IF(B60="","",IF(C60&lt;&gt;"","DONE","to do"))</f>
        <v/>
      </c>
    </row>
    <row r="61" customFormat="false" ht="15" hidden="false" customHeight="false" outlineLevel="0" collapsed="false">
      <c r="A61" s="19"/>
      <c r="B61" s="19"/>
      <c r="C61" s="19"/>
      <c r="D61" s="20" t="str">
        <f aca="false">IF(B61="","",IF(C61&lt;&gt;"","DONE","to do"))</f>
        <v/>
      </c>
    </row>
    <row r="62" customFormat="false" ht="15" hidden="false" customHeight="false" outlineLevel="0" collapsed="false">
      <c r="A62" s="19"/>
      <c r="B62" s="19"/>
      <c r="C62" s="19"/>
      <c r="D62" s="20" t="str">
        <f aca="false">IF(B62="","",IF(C62&lt;&gt;"","DONE","to do"))</f>
        <v/>
      </c>
    </row>
    <row r="63" customFormat="false" ht="15" hidden="false" customHeight="false" outlineLevel="0" collapsed="false">
      <c r="A63" s="19"/>
      <c r="B63" s="19"/>
      <c r="C63" s="19"/>
      <c r="D63" s="20" t="str">
        <f aca="false">IF(B63="","",IF(C63&lt;&gt;"","DONE","to do"))</f>
        <v/>
      </c>
    </row>
    <row r="64" customFormat="false" ht="15" hidden="false" customHeight="false" outlineLevel="0" collapsed="false">
      <c r="A64" s="19"/>
      <c r="B64" s="19"/>
      <c r="C64" s="19"/>
      <c r="D64" s="20" t="str">
        <f aca="false">IF(B64="","",IF(C64&lt;&gt;"","DONE","to do"))</f>
        <v/>
      </c>
    </row>
    <row r="65" customFormat="false" ht="15" hidden="false" customHeight="false" outlineLevel="0" collapsed="false">
      <c r="A65" s="19"/>
      <c r="B65" s="19"/>
      <c r="C65" s="19"/>
      <c r="D65" s="20" t="str">
        <f aca="false">IF(B65="","",IF(C65&lt;&gt;"","DONE","to do"))</f>
        <v/>
      </c>
    </row>
    <row r="66" customFormat="false" ht="15" hidden="false" customHeight="false" outlineLevel="0" collapsed="false">
      <c r="A66" s="19"/>
      <c r="B66" s="19"/>
      <c r="C66" s="19"/>
      <c r="D66" s="20" t="str">
        <f aca="false">IF(B66="","",IF(C66&lt;&gt;"","DONE","to do"))</f>
        <v/>
      </c>
    </row>
    <row r="67" customFormat="false" ht="15" hidden="false" customHeight="false" outlineLevel="0" collapsed="false">
      <c r="A67" s="19"/>
      <c r="B67" s="19"/>
      <c r="C67" s="19"/>
      <c r="D67" s="20" t="str">
        <f aca="false">IF(B67="","",IF(C67&lt;&gt;"","DONE","to do"))</f>
        <v/>
      </c>
    </row>
    <row r="68" customFormat="false" ht="15" hidden="false" customHeight="false" outlineLevel="0" collapsed="false">
      <c r="A68" s="19"/>
      <c r="B68" s="19"/>
      <c r="C68" s="19"/>
      <c r="D68" s="20" t="str">
        <f aca="false">IF(B68="","",IF(C68&lt;&gt;"","DONE","to do"))</f>
        <v/>
      </c>
    </row>
    <row r="69" customFormat="false" ht="15" hidden="false" customHeight="false" outlineLevel="0" collapsed="false">
      <c r="A69" s="19"/>
      <c r="B69" s="19"/>
      <c r="C69" s="19"/>
      <c r="D69" s="20" t="str">
        <f aca="false">IF(B69="","",IF(C69&lt;&gt;"","DONE","to do"))</f>
        <v/>
      </c>
    </row>
    <row r="70" customFormat="false" ht="15" hidden="false" customHeight="false" outlineLevel="0" collapsed="false">
      <c r="A70" s="19"/>
      <c r="B70" s="19"/>
      <c r="C70" s="19"/>
      <c r="D70" s="20" t="str">
        <f aca="false">IF(B70="","",IF(C70&lt;&gt;"","DONE","to do"))</f>
        <v/>
      </c>
    </row>
    <row r="71" customFormat="false" ht="15" hidden="false" customHeight="false" outlineLevel="0" collapsed="false">
      <c r="A71" s="19"/>
      <c r="B71" s="19"/>
      <c r="C71" s="19"/>
      <c r="D71" s="20" t="str">
        <f aca="false">IF(B71="","",IF(C71&lt;&gt;"","DONE","to do"))</f>
        <v/>
      </c>
    </row>
    <row r="72" customFormat="false" ht="15" hidden="false" customHeight="false" outlineLevel="0" collapsed="false">
      <c r="A72" s="19"/>
      <c r="B72" s="19"/>
      <c r="C72" s="19"/>
      <c r="D72" s="20" t="str">
        <f aca="false">IF(B72="","",IF(C72&lt;&gt;"","DONE","to do"))</f>
        <v/>
      </c>
    </row>
    <row r="73" customFormat="false" ht="15" hidden="false" customHeight="false" outlineLevel="0" collapsed="false">
      <c r="A73" s="19"/>
      <c r="B73" s="19"/>
      <c r="C73" s="19"/>
      <c r="D73" s="20" t="str">
        <f aca="false">IF(B73="","",IF(C73&lt;&gt;"","DONE","to do"))</f>
        <v/>
      </c>
    </row>
    <row r="74" customFormat="false" ht="15" hidden="false" customHeight="false" outlineLevel="0" collapsed="false">
      <c r="A74" s="19"/>
      <c r="B74" s="19"/>
      <c r="C74" s="19"/>
      <c r="D74" s="20" t="str">
        <f aca="false">IF(B74="","",IF(C74&lt;&gt;"","DONE","to do"))</f>
        <v/>
      </c>
    </row>
    <row r="75" customFormat="false" ht="15" hidden="false" customHeight="false" outlineLevel="0" collapsed="false">
      <c r="A75" s="19"/>
      <c r="B75" s="19"/>
      <c r="C75" s="19"/>
      <c r="D75" s="20" t="str">
        <f aca="false">IF(B75="","",IF(C75&lt;&gt;"","DONE","to do"))</f>
        <v/>
      </c>
    </row>
    <row r="76" customFormat="false" ht="15" hidden="false" customHeight="false" outlineLevel="0" collapsed="false">
      <c r="A76" s="19"/>
      <c r="B76" s="19"/>
      <c r="C76" s="19"/>
      <c r="D76" s="20" t="str">
        <f aca="false">IF(B76="","",IF(C76&lt;&gt;"","DONE","to do"))</f>
        <v/>
      </c>
    </row>
    <row r="77" customFormat="false" ht="15" hidden="false" customHeight="false" outlineLevel="0" collapsed="false">
      <c r="A77" s="19"/>
      <c r="B77" s="19"/>
      <c r="C77" s="19"/>
      <c r="D77" s="20" t="str">
        <f aca="false">IF(B77="","",IF(C77&lt;&gt;"","DONE","to do"))</f>
        <v/>
      </c>
    </row>
    <row r="78" customFormat="false" ht="15" hidden="false" customHeight="false" outlineLevel="0" collapsed="false">
      <c r="A78" s="19"/>
      <c r="B78" s="19"/>
      <c r="C78" s="19"/>
      <c r="D78" s="20" t="str">
        <f aca="false">IF(B78="","",IF(C78&lt;&gt;"","DONE","to do"))</f>
        <v/>
      </c>
    </row>
    <row r="79" customFormat="false" ht="15" hidden="false" customHeight="false" outlineLevel="0" collapsed="false">
      <c r="A79" s="19"/>
      <c r="B79" s="19"/>
      <c r="C79" s="19"/>
      <c r="D79" s="20" t="str">
        <f aca="false">IF(B79="","",IF(C79&lt;&gt;"","DONE","to do"))</f>
        <v/>
      </c>
    </row>
  </sheetData>
  <conditionalFormatting sqref="D2:D79">
    <cfRule type="cellIs" priority="2" operator="equal" aboveAverage="0" equalAverage="0" bottom="0" percent="0" rank="0" text="" dxfId="3">
      <formula>"DONE"</formula>
    </cfRule>
    <cfRule type="cellIs" priority="3" operator="equal" aboveAverage="0" equalAverage="0" bottom="0" percent="0" rank="0" text="" dxfId="4">
      <formula>"to do"</formula>
    </cfRule>
  </conditionalFormatting>
  <dataValidations count="1">
    <dataValidation allowBlank="true" errorStyle="stop" operator="between" showDropDown="false" showErrorMessage="false" showInputMessage="false" sqref="A2:A79" type="list">
      <formula1>"RES-0.25W,RES-1W"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2026-10-17T16:19:11Z</dcterms:created>
  <dc:creator>openpyxl</dc:creator>
  <dc:description/>
  <dc:language>en-US</dc:language>
  <cp:lastModifiedBy/>
  <dcterms:modified xsi:type="dcterms:W3CDTF">2026-10-17T16:19:11Z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